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ob\DOCUMENTS\ObsidianVaults\Antheros\"/>
    </mc:Choice>
  </mc:AlternateContent>
  <xr:revisionPtr revIDLastSave="0" documentId="13_ncr:1_{BD0BEE3A-3A21-4FE2-9800-B3B83087A385}" xr6:coauthVersionLast="47" xr6:coauthVersionMax="47" xr10:uidLastSave="{00000000-0000-0000-0000-000000000000}"/>
  <bookViews>
    <workbookView xWindow="-120" yWindow="-120" windowWidth="29040" windowHeight="15720" xr2:uid="{6C749AB8-F0F3-48FE-9FE8-877929F12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K2" i="1"/>
  <c r="Q2" i="1"/>
  <c r="P2" i="1"/>
  <c r="O2" i="1"/>
  <c r="N2" i="1"/>
  <c r="E2" i="1"/>
  <c r="F2" i="1" s="1"/>
  <c r="E3" i="1"/>
  <c r="F3" i="1" s="1"/>
  <c r="K3" i="1" s="1"/>
  <c r="E4" i="1"/>
  <c r="G4" i="1" s="1"/>
  <c r="L4" i="1" l="1"/>
  <c r="G3" i="1"/>
  <c r="F4" i="1"/>
  <c r="K4" i="1" s="1"/>
  <c r="G2" i="1"/>
  <c r="I2" i="1"/>
  <c r="J2" i="1" s="1"/>
  <c r="I4" i="1" l="1"/>
  <c r="J4" i="1" s="1"/>
  <c r="L3" i="1"/>
  <c r="I3" i="1"/>
  <c r="J3" i="1" s="1"/>
</calcChain>
</file>

<file path=xl/sharedStrings.xml><?xml version="1.0" encoding="utf-8"?>
<sst xmlns="http://schemas.openxmlformats.org/spreadsheetml/2006/main" count="23" uniqueCount="21">
  <si>
    <t>Image</t>
  </si>
  <si>
    <t>px / 100'</t>
  </si>
  <si>
    <t>Tarnsworth</t>
  </si>
  <si>
    <t>Lower Bound</t>
  </si>
  <si>
    <t>[0, 0]</t>
  </si>
  <si>
    <t>Upper Bound</t>
  </si>
  <si>
    <t>Scale Factor</t>
  </si>
  <si>
    <t>Lat</t>
  </si>
  <si>
    <t>Long</t>
  </si>
  <si>
    <t>Oakridge</t>
  </si>
  <si>
    <t>Y (Height)</t>
  </si>
  <si>
    <t>X (Width)</t>
  </si>
  <si>
    <t>Y Factored</t>
  </si>
  <si>
    <t>X Factored</t>
  </si>
  <si>
    <t>Haven</t>
  </si>
  <si>
    <t>Bounds</t>
  </si>
  <si>
    <t>Leaflet X</t>
  </si>
  <si>
    <t>Leaflet Y</t>
  </si>
  <si>
    <t>Leaflet Coords</t>
  </si>
  <si>
    <t>Image X</t>
  </si>
  <si>
    <t>Image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</si>
</sst>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1" fontId="0" fillId="2" borderId="0" xfId="0" applyNumberFormat="1" applyFill="1" applyAlignment="1">
      <alignment horizontal="center" vertical="top"/>
    </xf>
    <xf numFmtId="170" fontId="0" fillId="3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</cellXfs>
  <cellStyles count="1">
    <cellStyle name="Normal" xfId="0" builtinId="0"/>
  </cellStyles>
  <dxfs count="19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numFmt numFmtId="170" formatCode="0.000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numFmt numFmtId="170" formatCode="0.000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numFmt numFmtId="170" formatCode="0.000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1" formatCode="0"/>
      <fill>
        <patternFill>
          <fgColor indexed="64"/>
          <bgColor rgb="FFFFFF00"/>
        </patternFill>
      </fill>
      <alignment horizontal="center" vertical="top" textRotation="0" wrapText="0" indent="0" justifyLastLine="0" shrinkToFit="0" readingOrder="0"/>
    </dxf>
    <dxf>
      <numFmt numFmtId="1" formatCode="0"/>
      <fill>
        <patternFill>
          <fgColor indexed="64"/>
          <bgColor rgb="FFFFFF00"/>
        </patternFill>
      </fill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B66F6D-EE4A-4391-9291-DB8CBAEB930B}" name="Table1" displayName="Table1" ref="A1:Q4" totalsRowShown="0" headerRowDxfId="15" dataDxfId="16">
  <tableColumns count="17">
    <tableColumn id="1" xr3:uid="{708148A5-B854-47FF-B79F-A523740D3BD1}" name="Image" dataDxfId="18"/>
    <tableColumn id="3" xr3:uid="{99FC75FC-0AA0-4438-B83F-3E1C411A7D79}" name="X (Width)" dataDxfId="17"/>
    <tableColumn id="2" xr3:uid="{8B23745C-1D3C-4423-9786-953EE5FB3750}" name="Y (Height)" dataDxfId="14"/>
    <tableColumn id="4" xr3:uid="{312872CA-EE79-4506-A153-B446311503C5}" name="px / 100'" dataDxfId="11"/>
    <tableColumn id="7" xr3:uid="{7B043FA6-945E-41A6-A0DF-A4CB2E341E40}" name="Scale Factor" dataDxfId="10">
      <calculatedColumnFormula>+Table1[[#This Row],[px / 100'']]/100</calculatedColumnFormula>
    </tableColumn>
    <tableColumn id="11" xr3:uid="{748DA916-8EB3-4ED3-ADD4-BD4D6E4C9714}" name="X Factored" dataDxfId="9"/>
    <tableColumn id="10" xr3:uid="{823F055E-5078-42DF-A5F1-BD9955D133A8}" name="Y Factored" dataDxfId="8">
      <calculatedColumnFormula>Table1[[#This Row],[Y (Height)]]*Table1[[#This Row],[Scale Factor]]</calculatedColumnFormula>
    </tableColumn>
    <tableColumn id="5" xr3:uid="{22ABEB05-01E3-40AE-A415-8BA3FDA370AB}" name="Lower Bound" dataDxfId="7"/>
    <tableColumn id="6" xr3:uid="{00F82C88-1990-42B5-B038-D823AB8438F7}" name="Upper Bound" dataDxfId="5">
      <calculatedColumnFormula>"[" &amp; TEXT(Table1[[#This Row],[Y (Height)]]*1/Table1[[#This Row],[Scale Factor]],"######.000") &amp; ", " &amp; TEXT(Table1[[#This Row],[X (Width)]]*1/Table1[[#This Row],[Scale Factor]],"######.000") &amp; "]"</calculatedColumnFormula>
    </tableColumn>
    <tableColumn id="12" xr3:uid="{E552B497-8014-48D4-8B79-E30ECFE1C4C8}" name="Bounds" dataDxfId="6">
      <calculatedColumnFormula>+"[ " &amp; Table1[[#This Row],[Lower Bound]] &amp; ", " &amp; Table1[[#This Row],[Upper Bound]] &amp; " ]"</calculatedColumnFormula>
    </tableColumn>
    <tableColumn id="8" xr3:uid="{A1E4D4A1-9DC7-4D7D-9A4A-B36D504F7AC0}" name="Lat" dataDxfId="13">
      <calculatedColumnFormula>+Table1[[#This Row],[X Factored]]/2</calculatedColumnFormula>
    </tableColumn>
    <tableColumn id="9" xr3:uid="{613ED821-800B-4A71-9D5E-B9AE956C2704}" name="Long" dataDxfId="12">
      <calculatedColumnFormula>+Table1[[#This Row],[Y Factored]]/2</calculatedColumnFormula>
    </tableColumn>
    <tableColumn id="13" xr3:uid="{5E9956B1-D977-474C-AABD-263297640B9E}" name="Image X" dataDxfId="4"/>
    <tableColumn id="14" xr3:uid="{4EADF74D-46AD-48D0-9550-9672F9DA6FE5}" name="Image Y" dataDxfId="3"/>
    <tableColumn id="15" xr3:uid="{22F0F41E-3687-4459-BBA3-DCEC3AC10A06}" name="Leaflet X" dataDxfId="2"/>
    <tableColumn id="16" xr3:uid="{D37C88DE-8EA8-433B-BD81-3D011ADFA54C}" name="Leaflet Y" dataDxfId="1"/>
    <tableColumn id="17" xr3:uid="{AE7C53E1-A77E-422C-A2A9-50B25EDF4AA2}" name="Leaflet Coor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CD10-6EEC-4196-9C19-577113B77509}">
  <dimension ref="A1:Q4"/>
  <sheetViews>
    <sheetView tabSelected="1" workbookViewId="0">
      <selection activeCell="L2" sqref="L2"/>
    </sheetView>
  </sheetViews>
  <sheetFormatPr defaultRowHeight="15" x14ac:dyDescent="0.25"/>
  <cols>
    <col min="1" max="1" width="19.28515625" style="1" customWidth="1"/>
    <col min="2" max="2" width="15.7109375" customWidth="1"/>
    <col min="3" max="5" width="15.7109375" style="2" customWidth="1"/>
    <col min="6" max="6" width="15.7109375" customWidth="1"/>
    <col min="7" max="8" width="15.7109375" style="2" customWidth="1"/>
    <col min="9" max="9" width="20.7109375" style="2" customWidth="1"/>
    <col min="10" max="10" width="26" style="2" customWidth="1"/>
    <col min="11" max="11" width="8.85546875" style="2" customWidth="1"/>
    <col min="12" max="12" width="10" style="2" customWidth="1"/>
    <col min="13" max="13" width="17.140625" style="1" customWidth="1"/>
    <col min="14" max="14" width="14.28515625" style="1" customWidth="1"/>
    <col min="15" max="15" width="14.7109375" style="1" customWidth="1"/>
    <col min="16" max="16" width="13.28515625" style="1" customWidth="1"/>
    <col min="17" max="17" width="19.7109375" style="1" customWidth="1"/>
    <col min="18" max="16384" width="9.140625" style="1"/>
  </cols>
  <sheetData>
    <row r="1" spans="1:17" x14ac:dyDescent="0.25">
      <c r="A1" s="1" t="s">
        <v>0</v>
      </c>
      <c r="B1" s="2" t="s">
        <v>11</v>
      </c>
      <c r="C1" s="2" t="s">
        <v>10</v>
      </c>
      <c r="D1" s="2" t="s">
        <v>1</v>
      </c>
      <c r="E1" s="2" t="s">
        <v>6</v>
      </c>
      <c r="F1" s="2" t="s">
        <v>13</v>
      </c>
      <c r="G1" s="2" t="s">
        <v>12</v>
      </c>
      <c r="H1" s="2" t="s">
        <v>3</v>
      </c>
      <c r="I1" s="2" t="s">
        <v>5</v>
      </c>
      <c r="J1" s="2" t="s">
        <v>15</v>
      </c>
      <c r="K1" s="2" t="s">
        <v>7</v>
      </c>
      <c r="L1" s="2" t="s">
        <v>8</v>
      </c>
      <c r="M1" s="7" t="s">
        <v>19</v>
      </c>
      <c r="N1" s="7" t="s">
        <v>20</v>
      </c>
      <c r="O1" s="7" t="s">
        <v>16</v>
      </c>
      <c r="P1" s="7" t="s">
        <v>17</v>
      </c>
      <c r="Q1" s="7" t="s">
        <v>18</v>
      </c>
    </row>
    <row r="2" spans="1:17" x14ac:dyDescent="0.25">
      <c r="A2" s="1" t="s">
        <v>2</v>
      </c>
      <c r="B2" s="2">
        <v>1068</v>
      </c>
      <c r="C2" s="2">
        <v>758</v>
      </c>
      <c r="D2" s="2">
        <v>150</v>
      </c>
      <c r="E2" s="5">
        <f>1/(Table1[[#This Row],[px / 100'']]/100)</f>
        <v>0.66666666666666663</v>
      </c>
      <c r="F2" s="5">
        <f>Table1[[#This Row],[X (Width)]]*Table1[[#This Row],[Scale Factor]]</f>
        <v>712</v>
      </c>
      <c r="G2" s="5">
        <f>Table1[[#This Row],[Y (Height)]]*Table1[[#This Row],[Scale Factor]]</f>
        <v>505.33333333333331</v>
      </c>
      <c r="H2" s="6" t="s">
        <v>4</v>
      </c>
      <c r="I2" s="6" t="str">
        <f>"[" &amp; TEXT(Table1[[#This Row],[Y Factored]],"######.000") &amp; ", " &amp; TEXT(Table1[[#This Row],[X Factored]],"######.000") &amp; "]"</f>
        <v>[505.333, 712.000]</v>
      </c>
      <c r="J2" s="3" t="str">
        <f>+"[ " &amp; Table1[[#This Row],[Lower Bound]] &amp; ", " &amp; Table1[[#This Row],[Upper Bound]] &amp; " ]"</f>
        <v>[ [0, 0], [505.333, 712.000] ]</v>
      </c>
      <c r="K2" s="4">
        <f>+Table1[[#This Row],[X (Width)]]/2</f>
        <v>534</v>
      </c>
      <c r="L2" s="4">
        <f>+Table1[[#This Row],[Y (Height)]]/2</f>
        <v>379</v>
      </c>
      <c r="M2" s="2">
        <v>555</v>
      </c>
      <c r="N2" s="2">
        <f>+Table1[[#This Row],[Y (Height)]]-555</f>
        <v>203</v>
      </c>
      <c r="O2" s="2">
        <f>+Table1[[#This Row],[Image X]]</f>
        <v>555</v>
      </c>
      <c r="P2" s="2">
        <f>+Table1[[#This Row],[Y (Height)]]-Table1[[#This Row],[Image Y]]</f>
        <v>555</v>
      </c>
      <c r="Q2" s="3" t="str">
        <f>+"[ " &amp; Table1[[#This Row],[Leaflet Y]] &amp; ", " &amp; Table1[[#This Row],[Leaflet X]] &amp; " ]"</f>
        <v>[ 555, 555 ]</v>
      </c>
    </row>
    <row r="3" spans="1:17" x14ac:dyDescent="0.25">
      <c r="A3" s="1" t="s">
        <v>9</v>
      </c>
      <c r="B3" s="2">
        <v>2600</v>
      </c>
      <c r="C3" s="2">
        <v>3300</v>
      </c>
      <c r="D3" s="2">
        <v>800</v>
      </c>
      <c r="E3" s="5">
        <f>1/(Table1[[#This Row],[px / 100'']]/100)</f>
        <v>0.125</v>
      </c>
      <c r="F3" s="5">
        <f>Table1[[#This Row],[X (Width)]]*Table1[[#This Row],[Scale Factor]]</f>
        <v>325</v>
      </c>
      <c r="G3" s="5">
        <f>Table1[[#This Row],[Y (Height)]]*Table1[[#This Row],[Scale Factor]]</f>
        <v>412.5</v>
      </c>
      <c r="H3" s="6" t="s">
        <v>4</v>
      </c>
      <c r="I3" s="6" t="str">
        <f>"[" &amp; TEXT(Table1[[#This Row],[Y Factored]],"######.000") &amp; ", " &amp; TEXT(Table1[[#This Row],[X Factored]],"######.000") &amp; "]"</f>
        <v>[412.500, 325.000]</v>
      </c>
      <c r="J3" s="3" t="str">
        <f>+"[ " &amp; Table1[[#This Row],[Lower Bound]] &amp; ", " &amp; Table1[[#This Row],[Upper Bound]] &amp; " ]"</f>
        <v>[ [0, 0], [412.500, 325.000] ]</v>
      </c>
      <c r="K3" s="4">
        <f>+Table1[[#This Row],[X Factored]]/2</f>
        <v>162.5</v>
      </c>
      <c r="L3" s="4">
        <f>+Table1[[#This Row],[Y Factored]]/2</f>
        <v>206.25</v>
      </c>
      <c r="M3" s="2"/>
      <c r="N3" s="2"/>
      <c r="O3" s="2"/>
      <c r="P3" s="2"/>
      <c r="Q3" s="2"/>
    </row>
    <row r="4" spans="1:17" x14ac:dyDescent="0.25">
      <c r="A4" s="1" t="s">
        <v>14</v>
      </c>
      <c r="B4" s="2">
        <v>7200</v>
      </c>
      <c r="C4" s="2">
        <v>7200</v>
      </c>
      <c r="D4" s="2">
        <v>98</v>
      </c>
      <c r="E4" s="5">
        <f>1/(Table1[[#This Row],[px / 100'']]/100)</f>
        <v>1.0204081632653061</v>
      </c>
      <c r="F4" s="5">
        <f>Table1[[#This Row],[X (Width)]]*Table1[[#This Row],[Scale Factor]]</f>
        <v>7346.9387755102043</v>
      </c>
      <c r="G4" s="5">
        <f>Table1[[#This Row],[Y (Height)]]*Table1[[#This Row],[Scale Factor]]</f>
        <v>7346.9387755102043</v>
      </c>
      <c r="H4" s="6" t="s">
        <v>4</v>
      </c>
      <c r="I4" s="6" t="str">
        <f>"[" &amp; TEXT(Table1[[#This Row],[Y Factored]],"######.000") &amp; ", " &amp; TEXT(Table1[[#This Row],[X Factored]],"######.000") &amp; "]"</f>
        <v>[7346.939, 7346.939]</v>
      </c>
      <c r="J4" s="3" t="str">
        <f>+"[ " &amp; Table1[[#This Row],[Lower Bound]] &amp; ", " &amp; Table1[[#This Row],[Upper Bound]] &amp; " ]"</f>
        <v>[ [0, 0], [7346.939, 7346.939] ]</v>
      </c>
      <c r="K4" s="4">
        <f>+Table1[[#This Row],[X Factored]]/2</f>
        <v>3673.4693877551022</v>
      </c>
      <c r="L4" s="4">
        <f>+Table1[[#This Row],[Y Factored]]/2</f>
        <v>3673.4693877551022</v>
      </c>
      <c r="M4" s="2"/>
      <c r="N4" s="2"/>
      <c r="O4" s="2"/>
      <c r="P4" s="2"/>
      <c r="Q4" s="2"/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2026-09-02T16:19:58Z</dcterms:created>
  <dcterms:modified xsi:type="dcterms:W3CDTF">2026-09-03T00:25:19Z</dcterms:modified>
</cp:coreProperties>
</file>