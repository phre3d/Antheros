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Bob\DOCUMENTS\ObsidianVaults\Antheros\~WA Input\"/>
    </mc:Choice>
  </mc:AlternateContent>
  <xr:revisionPtr revIDLastSave="0" documentId="13_ncr:1_{59A3DB5A-5B8D-4913-8E85-97DE5D4AEB31}" xr6:coauthVersionLast="47" xr6:coauthVersionMax="47" xr10:uidLastSave="{00000000-0000-0000-0000-000000000000}"/>
  <bookViews>
    <workbookView xWindow="-28920" yWindow="-120" windowWidth="29040" windowHeight="17520" xr2:uid="{32FD69CA-3DEE-4B15-9342-B2BADFC5485E}"/>
  </bookViews>
  <sheets>
    <sheet name="Foundry Pins" sheetId="2" r:id="rId1"/>
    <sheet name="WA Markers" sheetId="4" r:id="rId2"/>
    <sheet name="MD files" sheetId="3" r:id="rId3"/>
  </sheets>
  <definedNames>
    <definedName name="factorHaven">'MD files'!$T$4</definedName>
    <definedName name="scaleHaven">'MD files'!$S$4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3" i="3"/>
  <c r="N550" i="3"/>
  <c r="V3" i="3"/>
  <c r="V5" i="3"/>
  <c r="V4" i="3"/>
  <c r="T3" i="3"/>
  <c r="U3" i="3" s="1"/>
  <c r="T5" i="3"/>
  <c r="U5" i="3" s="1"/>
  <c r="T4" i="3"/>
  <c r="U4" i="3" s="1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E97" i="3"/>
  <c r="F97" i="3"/>
  <c r="E98" i="3"/>
  <c r="F98" i="3"/>
  <c r="E99" i="3"/>
  <c r="F99" i="3"/>
  <c r="E100" i="3"/>
  <c r="F100" i="3"/>
  <c r="E101" i="3"/>
  <c r="F101" i="3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F117" i="3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E130" i="3"/>
  <c r="F130" i="3"/>
  <c r="E131" i="3"/>
  <c r="F131" i="3"/>
  <c r="E132" i="3"/>
  <c r="F132" i="3"/>
  <c r="E133" i="3"/>
  <c r="F133" i="3"/>
  <c r="E134" i="3"/>
  <c r="F134" i="3"/>
  <c r="E135" i="3"/>
  <c r="F135" i="3"/>
  <c r="E136" i="3"/>
  <c r="F136" i="3"/>
  <c r="E137" i="3"/>
  <c r="F137" i="3"/>
  <c r="E138" i="3"/>
  <c r="F138" i="3"/>
  <c r="E139" i="3"/>
  <c r="F139" i="3"/>
  <c r="E140" i="3"/>
  <c r="F140" i="3"/>
  <c r="E141" i="3"/>
  <c r="F141" i="3"/>
  <c r="E142" i="3"/>
  <c r="F142" i="3"/>
  <c r="E143" i="3"/>
  <c r="F143" i="3"/>
  <c r="E144" i="3"/>
  <c r="F144" i="3"/>
  <c r="E145" i="3"/>
  <c r="F145" i="3"/>
  <c r="E146" i="3"/>
  <c r="F146" i="3"/>
  <c r="E147" i="3"/>
  <c r="F147" i="3"/>
  <c r="E148" i="3"/>
  <c r="F148" i="3"/>
  <c r="E149" i="3"/>
  <c r="F149" i="3"/>
  <c r="E150" i="3"/>
  <c r="F150" i="3"/>
  <c r="E151" i="3"/>
  <c r="F151" i="3"/>
  <c r="E152" i="3"/>
  <c r="F152" i="3"/>
  <c r="E153" i="3"/>
  <c r="F153" i="3"/>
  <c r="E154" i="3"/>
  <c r="F154" i="3"/>
  <c r="E155" i="3"/>
  <c r="F155" i="3"/>
  <c r="E156" i="3"/>
  <c r="F156" i="3"/>
  <c r="E157" i="3"/>
  <c r="F157" i="3"/>
  <c r="E158" i="3"/>
  <c r="F158" i="3"/>
  <c r="E159" i="3"/>
  <c r="F159" i="3"/>
  <c r="E160" i="3"/>
  <c r="F160" i="3"/>
  <c r="E161" i="3"/>
  <c r="F161" i="3"/>
  <c r="E162" i="3"/>
  <c r="F162" i="3"/>
  <c r="E163" i="3"/>
  <c r="F163" i="3"/>
  <c r="E164" i="3"/>
  <c r="F164" i="3"/>
  <c r="E165" i="3"/>
  <c r="F165" i="3"/>
  <c r="E166" i="3"/>
  <c r="F166" i="3"/>
  <c r="E167" i="3"/>
  <c r="F167" i="3"/>
  <c r="E168" i="3"/>
  <c r="F168" i="3"/>
  <c r="E169" i="3"/>
  <c r="F169" i="3"/>
  <c r="E170" i="3"/>
  <c r="F170" i="3"/>
  <c r="E171" i="3"/>
  <c r="F171" i="3"/>
  <c r="E172" i="3"/>
  <c r="F172" i="3"/>
  <c r="E173" i="3"/>
  <c r="F173" i="3"/>
  <c r="E174" i="3"/>
  <c r="F174" i="3"/>
  <c r="E175" i="3"/>
  <c r="F175" i="3"/>
  <c r="E176" i="3"/>
  <c r="F176" i="3"/>
  <c r="E177" i="3"/>
  <c r="F177" i="3"/>
  <c r="E178" i="3"/>
  <c r="F178" i="3"/>
  <c r="E179" i="3"/>
  <c r="F179" i="3"/>
  <c r="E180" i="3"/>
  <c r="F180" i="3"/>
  <c r="E181" i="3"/>
  <c r="F181" i="3"/>
  <c r="E182" i="3"/>
  <c r="F182" i="3"/>
  <c r="E183" i="3"/>
  <c r="F183" i="3"/>
  <c r="E184" i="3"/>
  <c r="F184" i="3"/>
  <c r="E185" i="3"/>
  <c r="F185" i="3"/>
  <c r="E186" i="3"/>
  <c r="F186" i="3"/>
  <c r="E187" i="3"/>
  <c r="F187" i="3"/>
  <c r="E188" i="3"/>
  <c r="F188" i="3"/>
  <c r="E189" i="3"/>
  <c r="F189" i="3"/>
  <c r="E190" i="3"/>
  <c r="F190" i="3"/>
  <c r="E191" i="3"/>
  <c r="F191" i="3"/>
  <c r="E192" i="3"/>
  <c r="F192" i="3"/>
  <c r="E193" i="3"/>
  <c r="F193" i="3"/>
  <c r="E194" i="3"/>
  <c r="F194" i="3"/>
  <c r="E195" i="3"/>
  <c r="F195" i="3"/>
  <c r="E196" i="3"/>
  <c r="F196" i="3"/>
  <c r="E197" i="3"/>
  <c r="F197" i="3"/>
  <c r="E198" i="3"/>
  <c r="F198" i="3"/>
  <c r="E199" i="3"/>
  <c r="F199" i="3"/>
  <c r="E200" i="3"/>
  <c r="F200" i="3"/>
  <c r="E201" i="3"/>
  <c r="F201" i="3"/>
  <c r="E202" i="3"/>
  <c r="F202" i="3"/>
  <c r="E203" i="3"/>
  <c r="F203" i="3"/>
  <c r="E204" i="3"/>
  <c r="F204" i="3"/>
  <c r="E205" i="3"/>
  <c r="F205" i="3"/>
  <c r="E206" i="3"/>
  <c r="F206" i="3"/>
  <c r="E207" i="3"/>
  <c r="F207" i="3"/>
  <c r="E208" i="3"/>
  <c r="F208" i="3"/>
  <c r="E209" i="3"/>
  <c r="F209" i="3"/>
  <c r="E210" i="3"/>
  <c r="F210" i="3"/>
  <c r="E211" i="3"/>
  <c r="F211" i="3"/>
  <c r="E212" i="3"/>
  <c r="F212" i="3"/>
  <c r="E213" i="3"/>
  <c r="F213" i="3"/>
  <c r="E214" i="3"/>
  <c r="F214" i="3"/>
  <c r="E215" i="3"/>
  <c r="F215" i="3"/>
  <c r="E216" i="3"/>
  <c r="F216" i="3"/>
  <c r="E217" i="3"/>
  <c r="F217" i="3"/>
  <c r="E218" i="3"/>
  <c r="F218" i="3"/>
  <c r="E219" i="3"/>
  <c r="F219" i="3"/>
  <c r="E220" i="3"/>
  <c r="F220" i="3"/>
  <c r="E221" i="3"/>
  <c r="F221" i="3"/>
  <c r="E222" i="3"/>
  <c r="F222" i="3"/>
  <c r="E223" i="3"/>
  <c r="F223" i="3"/>
  <c r="E224" i="3"/>
  <c r="F224" i="3"/>
  <c r="E225" i="3"/>
  <c r="F225" i="3"/>
  <c r="E226" i="3"/>
  <c r="F226" i="3"/>
  <c r="E227" i="3"/>
  <c r="F227" i="3"/>
  <c r="E228" i="3"/>
  <c r="F228" i="3"/>
  <c r="E229" i="3"/>
  <c r="F229" i="3"/>
  <c r="E230" i="3"/>
  <c r="F230" i="3"/>
  <c r="E231" i="3"/>
  <c r="F231" i="3"/>
  <c r="E232" i="3"/>
  <c r="F232" i="3"/>
  <c r="E233" i="3"/>
  <c r="F233" i="3"/>
  <c r="E234" i="3"/>
  <c r="F234" i="3"/>
  <c r="E235" i="3"/>
  <c r="F235" i="3"/>
  <c r="E236" i="3"/>
  <c r="F236" i="3"/>
  <c r="E237" i="3"/>
  <c r="F237" i="3"/>
  <c r="E238" i="3"/>
  <c r="F238" i="3"/>
  <c r="E239" i="3"/>
  <c r="F239" i="3"/>
  <c r="E240" i="3"/>
  <c r="F240" i="3"/>
  <c r="E241" i="3"/>
  <c r="F241" i="3"/>
  <c r="E242" i="3"/>
  <c r="F242" i="3"/>
  <c r="E243" i="3"/>
  <c r="F243" i="3"/>
  <c r="E244" i="3"/>
  <c r="F244" i="3"/>
  <c r="E245" i="3"/>
  <c r="F245" i="3"/>
  <c r="E246" i="3"/>
  <c r="F246" i="3"/>
  <c r="E247" i="3"/>
  <c r="F247" i="3"/>
  <c r="E248" i="3"/>
  <c r="F248" i="3"/>
  <c r="E249" i="3"/>
  <c r="F249" i="3"/>
  <c r="E250" i="3"/>
  <c r="F250" i="3"/>
  <c r="E251" i="3"/>
  <c r="F251" i="3"/>
  <c r="E252" i="3"/>
  <c r="F252" i="3"/>
  <c r="E253" i="3"/>
  <c r="F253" i="3"/>
  <c r="E254" i="3"/>
  <c r="F254" i="3"/>
  <c r="E255" i="3"/>
  <c r="F255" i="3"/>
  <c r="E256" i="3"/>
  <c r="F256" i="3"/>
  <c r="E257" i="3"/>
  <c r="F257" i="3"/>
  <c r="E258" i="3"/>
  <c r="F258" i="3"/>
  <c r="E259" i="3"/>
  <c r="F259" i="3"/>
  <c r="E260" i="3"/>
  <c r="F260" i="3"/>
  <c r="E261" i="3"/>
  <c r="F261" i="3"/>
  <c r="E262" i="3"/>
  <c r="F262" i="3"/>
  <c r="E263" i="3"/>
  <c r="F263" i="3"/>
  <c r="E264" i="3"/>
  <c r="F264" i="3"/>
  <c r="E265" i="3"/>
  <c r="F265" i="3"/>
  <c r="E266" i="3"/>
  <c r="F266" i="3"/>
  <c r="E267" i="3"/>
  <c r="F267" i="3"/>
  <c r="E268" i="3"/>
  <c r="F268" i="3"/>
  <c r="E269" i="3"/>
  <c r="F269" i="3"/>
  <c r="E270" i="3"/>
  <c r="F270" i="3"/>
  <c r="E271" i="3"/>
  <c r="F271" i="3"/>
  <c r="E272" i="3"/>
  <c r="F272" i="3"/>
  <c r="E273" i="3"/>
  <c r="F273" i="3"/>
  <c r="E274" i="3"/>
  <c r="F274" i="3"/>
  <c r="E275" i="3"/>
  <c r="F275" i="3"/>
  <c r="E276" i="3"/>
  <c r="F276" i="3"/>
  <c r="E277" i="3"/>
  <c r="F277" i="3"/>
  <c r="E278" i="3"/>
  <c r="F278" i="3"/>
  <c r="E279" i="3"/>
  <c r="F279" i="3"/>
  <c r="E280" i="3"/>
  <c r="F280" i="3"/>
  <c r="E281" i="3"/>
  <c r="F281" i="3"/>
  <c r="E282" i="3"/>
  <c r="F282" i="3"/>
  <c r="E283" i="3"/>
  <c r="F283" i="3"/>
  <c r="E284" i="3"/>
  <c r="F284" i="3"/>
  <c r="E285" i="3"/>
  <c r="F285" i="3"/>
  <c r="E286" i="3"/>
  <c r="F286" i="3"/>
  <c r="E287" i="3"/>
  <c r="F287" i="3"/>
  <c r="E288" i="3"/>
  <c r="F288" i="3"/>
  <c r="E289" i="3"/>
  <c r="F289" i="3"/>
  <c r="E290" i="3"/>
  <c r="F290" i="3"/>
  <c r="E291" i="3"/>
  <c r="F291" i="3"/>
  <c r="E292" i="3"/>
  <c r="F292" i="3"/>
  <c r="E293" i="3"/>
  <c r="F293" i="3"/>
  <c r="E294" i="3"/>
  <c r="F294" i="3"/>
  <c r="E295" i="3"/>
  <c r="F295" i="3"/>
  <c r="E296" i="3"/>
  <c r="F296" i="3"/>
  <c r="E297" i="3"/>
  <c r="F297" i="3"/>
  <c r="E298" i="3"/>
  <c r="F298" i="3"/>
  <c r="E299" i="3"/>
  <c r="F299" i="3"/>
  <c r="E300" i="3"/>
  <c r="F300" i="3"/>
  <c r="E301" i="3"/>
  <c r="F301" i="3"/>
  <c r="E302" i="3"/>
  <c r="F302" i="3"/>
  <c r="E303" i="3"/>
  <c r="F303" i="3"/>
  <c r="E304" i="3"/>
  <c r="F304" i="3"/>
  <c r="E305" i="3"/>
  <c r="F305" i="3"/>
  <c r="E306" i="3"/>
  <c r="F306" i="3"/>
  <c r="E307" i="3"/>
  <c r="F307" i="3"/>
  <c r="E308" i="3"/>
  <c r="F308" i="3"/>
  <c r="E309" i="3"/>
  <c r="F309" i="3"/>
  <c r="E310" i="3"/>
  <c r="F310" i="3"/>
  <c r="E311" i="3"/>
  <c r="F311" i="3"/>
  <c r="E312" i="3"/>
  <c r="F312" i="3"/>
  <c r="E313" i="3"/>
  <c r="F313" i="3"/>
  <c r="E314" i="3"/>
  <c r="F314" i="3"/>
  <c r="E315" i="3"/>
  <c r="F315" i="3"/>
  <c r="E316" i="3"/>
  <c r="F316" i="3"/>
  <c r="E317" i="3"/>
  <c r="F317" i="3"/>
  <c r="E318" i="3"/>
  <c r="F318" i="3"/>
  <c r="E319" i="3"/>
  <c r="F319" i="3"/>
  <c r="E320" i="3"/>
  <c r="F320" i="3"/>
  <c r="E321" i="3"/>
  <c r="F321" i="3"/>
  <c r="E322" i="3"/>
  <c r="F322" i="3"/>
  <c r="E323" i="3"/>
  <c r="F323" i="3"/>
  <c r="E324" i="3"/>
  <c r="F324" i="3"/>
  <c r="E325" i="3"/>
  <c r="F325" i="3"/>
  <c r="E326" i="3"/>
  <c r="F326" i="3"/>
  <c r="E327" i="3"/>
  <c r="F327" i="3"/>
  <c r="E328" i="3"/>
  <c r="F328" i="3"/>
  <c r="E329" i="3"/>
  <c r="F329" i="3"/>
  <c r="E330" i="3"/>
  <c r="F330" i="3"/>
  <c r="E331" i="3"/>
  <c r="F331" i="3"/>
  <c r="E332" i="3"/>
  <c r="F332" i="3"/>
  <c r="E333" i="3"/>
  <c r="F333" i="3"/>
  <c r="E334" i="3"/>
  <c r="F334" i="3"/>
  <c r="E335" i="3"/>
  <c r="F335" i="3"/>
  <c r="E336" i="3"/>
  <c r="F336" i="3"/>
  <c r="E337" i="3"/>
  <c r="F337" i="3"/>
  <c r="E338" i="3"/>
  <c r="F338" i="3"/>
  <c r="E339" i="3"/>
  <c r="F339" i="3"/>
  <c r="E340" i="3"/>
  <c r="F340" i="3"/>
  <c r="E341" i="3"/>
  <c r="F341" i="3"/>
  <c r="E342" i="3"/>
  <c r="F342" i="3"/>
  <c r="E343" i="3"/>
  <c r="F343" i="3"/>
  <c r="E344" i="3"/>
  <c r="F344" i="3"/>
  <c r="E345" i="3"/>
  <c r="F345" i="3"/>
  <c r="E346" i="3"/>
  <c r="F346" i="3"/>
  <c r="E347" i="3"/>
  <c r="F347" i="3"/>
  <c r="E348" i="3"/>
  <c r="F348" i="3"/>
  <c r="E349" i="3"/>
  <c r="F349" i="3"/>
  <c r="E350" i="3"/>
  <c r="F350" i="3"/>
  <c r="E351" i="3"/>
  <c r="F351" i="3"/>
  <c r="E352" i="3"/>
  <c r="F352" i="3"/>
  <c r="E353" i="3"/>
  <c r="F353" i="3"/>
  <c r="E354" i="3"/>
  <c r="F354" i="3"/>
  <c r="E355" i="3"/>
  <c r="F355" i="3"/>
  <c r="E356" i="3"/>
  <c r="F356" i="3"/>
  <c r="E357" i="3"/>
  <c r="F357" i="3"/>
  <c r="E358" i="3"/>
  <c r="F358" i="3"/>
  <c r="E359" i="3"/>
  <c r="F359" i="3"/>
  <c r="E360" i="3"/>
  <c r="F360" i="3"/>
  <c r="E361" i="3"/>
  <c r="F361" i="3"/>
  <c r="E362" i="3"/>
  <c r="F362" i="3"/>
  <c r="E363" i="3"/>
  <c r="F363" i="3"/>
  <c r="E364" i="3"/>
  <c r="F364" i="3"/>
  <c r="E365" i="3"/>
  <c r="F365" i="3"/>
  <c r="E366" i="3"/>
  <c r="F366" i="3"/>
  <c r="E367" i="3"/>
  <c r="F367" i="3"/>
  <c r="E368" i="3"/>
  <c r="F368" i="3"/>
  <c r="E369" i="3"/>
  <c r="F369" i="3"/>
  <c r="E370" i="3"/>
  <c r="F370" i="3"/>
  <c r="E371" i="3"/>
  <c r="F371" i="3"/>
  <c r="E372" i="3"/>
  <c r="F372" i="3"/>
  <c r="E373" i="3"/>
  <c r="F373" i="3"/>
  <c r="E374" i="3"/>
  <c r="F374" i="3"/>
  <c r="E375" i="3"/>
  <c r="F375" i="3"/>
  <c r="E376" i="3"/>
  <c r="F376" i="3"/>
  <c r="E377" i="3"/>
  <c r="F377" i="3"/>
  <c r="E378" i="3"/>
  <c r="F378" i="3"/>
  <c r="E379" i="3"/>
  <c r="F379" i="3"/>
  <c r="E380" i="3"/>
  <c r="F380" i="3"/>
  <c r="E381" i="3"/>
  <c r="F381" i="3"/>
  <c r="E382" i="3"/>
  <c r="F382" i="3"/>
  <c r="E383" i="3"/>
  <c r="F383" i="3"/>
  <c r="E384" i="3"/>
  <c r="F384" i="3"/>
  <c r="E385" i="3"/>
  <c r="F385" i="3"/>
  <c r="E386" i="3"/>
  <c r="F386" i="3"/>
  <c r="E387" i="3"/>
  <c r="F387" i="3"/>
  <c r="E388" i="3"/>
  <c r="F388" i="3"/>
  <c r="E389" i="3"/>
  <c r="F389" i="3"/>
  <c r="E390" i="3"/>
  <c r="F390" i="3"/>
  <c r="E391" i="3"/>
  <c r="F391" i="3"/>
  <c r="E392" i="3"/>
  <c r="F392" i="3"/>
  <c r="E393" i="3"/>
  <c r="F393" i="3"/>
  <c r="E394" i="3"/>
  <c r="F394" i="3"/>
  <c r="E395" i="3"/>
  <c r="F395" i="3"/>
  <c r="E396" i="3"/>
  <c r="F396" i="3"/>
  <c r="E397" i="3"/>
  <c r="F397" i="3"/>
  <c r="E398" i="3"/>
  <c r="F398" i="3"/>
  <c r="E399" i="3"/>
  <c r="F399" i="3"/>
  <c r="E400" i="3"/>
  <c r="F400" i="3"/>
  <c r="E401" i="3"/>
  <c r="F401" i="3"/>
  <c r="E402" i="3"/>
  <c r="F402" i="3"/>
  <c r="E403" i="3"/>
  <c r="F403" i="3"/>
  <c r="E404" i="3"/>
  <c r="F404" i="3"/>
  <c r="E405" i="3"/>
  <c r="F405" i="3"/>
  <c r="E406" i="3"/>
  <c r="F406" i="3"/>
  <c r="E407" i="3"/>
  <c r="F407" i="3"/>
  <c r="E408" i="3"/>
  <c r="F408" i="3"/>
  <c r="E409" i="3"/>
  <c r="F409" i="3"/>
  <c r="E410" i="3"/>
  <c r="F410" i="3"/>
  <c r="E411" i="3"/>
  <c r="F411" i="3"/>
  <c r="E412" i="3"/>
  <c r="F412" i="3"/>
  <c r="E413" i="3"/>
  <c r="F413" i="3"/>
  <c r="E414" i="3"/>
  <c r="F414" i="3"/>
  <c r="E415" i="3"/>
  <c r="F415" i="3"/>
  <c r="E416" i="3"/>
  <c r="F416" i="3"/>
  <c r="E417" i="3"/>
  <c r="F417" i="3"/>
  <c r="E418" i="3"/>
  <c r="F418" i="3"/>
  <c r="E419" i="3"/>
  <c r="F419" i="3"/>
  <c r="E420" i="3"/>
  <c r="F420" i="3"/>
  <c r="E421" i="3"/>
  <c r="F421" i="3"/>
  <c r="E422" i="3"/>
  <c r="F422" i="3"/>
  <c r="E423" i="3"/>
  <c r="F423" i="3"/>
  <c r="E424" i="3"/>
  <c r="F424" i="3"/>
  <c r="E425" i="3"/>
  <c r="F425" i="3"/>
  <c r="E426" i="3"/>
  <c r="F426" i="3"/>
  <c r="E427" i="3"/>
  <c r="F427" i="3"/>
  <c r="E428" i="3"/>
  <c r="F428" i="3"/>
  <c r="E429" i="3"/>
  <c r="F429" i="3"/>
  <c r="E430" i="3"/>
  <c r="F430" i="3"/>
  <c r="E431" i="3"/>
  <c r="F431" i="3"/>
  <c r="E432" i="3"/>
  <c r="F432" i="3"/>
  <c r="E433" i="3"/>
  <c r="F433" i="3"/>
  <c r="E434" i="3"/>
  <c r="F434" i="3"/>
  <c r="E435" i="3"/>
  <c r="F435" i="3"/>
  <c r="E436" i="3"/>
  <c r="F436" i="3"/>
  <c r="E437" i="3"/>
  <c r="F437" i="3"/>
  <c r="E438" i="3"/>
  <c r="F438" i="3"/>
  <c r="E439" i="3"/>
  <c r="F439" i="3"/>
  <c r="E440" i="3"/>
  <c r="F440" i="3"/>
  <c r="E441" i="3"/>
  <c r="F441" i="3"/>
  <c r="E442" i="3"/>
  <c r="F442" i="3"/>
  <c r="E443" i="3"/>
  <c r="F443" i="3"/>
  <c r="E444" i="3"/>
  <c r="F444" i="3"/>
  <c r="E445" i="3"/>
  <c r="F445" i="3"/>
  <c r="E446" i="3"/>
  <c r="F446" i="3"/>
  <c r="E447" i="3"/>
  <c r="F447" i="3"/>
  <c r="E448" i="3"/>
  <c r="F448" i="3"/>
  <c r="E449" i="3"/>
  <c r="F449" i="3"/>
  <c r="E450" i="3"/>
  <c r="F450" i="3"/>
  <c r="E451" i="3"/>
  <c r="F451" i="3"/>
  <c r="E452" i="3"/>
  <c r="F452" i="3"/>
  <c r="E453" i="3"/>
  <c r="F453" i="3"/>
  <c r="E454" i="3"/>
  <c r="F454" i="3"/>
  <c r="E455" i="3"/>
  <c r="F455" i="3"/>
  <c r="E456" i="3"/>
  <c r="F456" i="3"/>
  <c r="E457" i="3"/>
  <c r="F457" i="3"/>
  <c r="E458" i="3"/>
  <c r="F458" i="3"/>
  <c r="E459" i="3"/>
  <c r="F459" i="3"/>
  <c r="E460" i="3"/>
  <c r="F460" i="3"/>
  <c r="E461" i="3"/>
  <c r="F461" i="3"/>
  <c r="E462" i="3"/>
  <c r="F462" i="3"/>
  <c r="E463" i="3"/>
  <c r="F463" i="3"/>
  <c r="E464" i="3"/>
  <c r="F464" i="3"/>
  <c r="E465" i="3"/>
  <c r="F465" i="3"/>
  <c r="E466" i="3"/>
  <c r="F466" i="3"/>
  <c r="E467" i="3"/>
  <c r="F467" i="3"/>
  <c r="E468" i="3"/>
  <c r="F468" i="3"/>
  <c r="E469" i="3"/>
  <c r="F469" i="3"/>
  <c r="E470" i="3"/>
  <c r="F470" i="3"/>
  <c r="E471" i="3"/>
  <c r="F471" i="3"/>
  <c r="E472" i="3"/>
  <c r="F472" i="3"/>
  <c r="E473" i="3"/>
  <c r="F473" i="3"/>
  <c r="E474" i="3"/>
  <c r="F474" i="3"/>
  <c r="E475" i="3"/>
  <c r="F475" i="3"/>
  <c r="E476" i="3"/>
  <c r="F476" i="3"/>
  <c r="E477" i="3"/>
  <c r="F477" i="3"/>
  <c r="E478" i="3"/>
  <c r="F478" i="3"/>
  <c r="E479" i="3"/>
  <c r="F479" i="3"/>
  <c r="E480" i="3"/>
  <c r="F480" i="3"/>
  <c r="E481" i="3"/>
  <c r="F481" i="3"/>
  <c r="E482" i="3"/>
  <c r="F482" i="3"/>
  <c r="E483" i="3"/>
  <c r="F483" i="3"/>
  <c r="E484" i="3"/>
  <c r="F484" i="3"/>
  <c r="E485" i="3"/>
  <c r="F485" i="3"/>
  <c r="E486" i="3"/>
  <c r="F486" i="3"/>
  <c r="E487" i="3"/>
  <c r="F487" i="3"/>
  <c r="E488" i="3"/>
  <c r="F488" i="3"/>
  <c r="E489" i="3"/>
  <c r="F489" i="3"/>
  <c r="E490" i="3"/>
  <c r="F490" i="3"/>
  <c r="E491" i="3"/>
  <c r="F491" i="3"/>
  <c r="E492" i="3"/>
  <c r="F492" i="3"/>
  <c r="E493" i="3"/>
  <c r="F493" i="3"/>
  <c r="E494" i="3"/>
  <c r="F494" i="3"/>
  <c r="E495" i="3"/>
  <c r="F495" i="3"/>
  <c r="E496" i="3"/>
  <c r="F496" i="3"/>
  <c r="E497" i="3"/>
  <c r="F497" i="3"/>
  <c r="E498" i="3"/>
  <c r="F498" i="3"/>
  <c r="E499" i="3"/>
  <c r="F499" i="3"/>
  <c r="E500" i="3"/>
  <c r="F500" i="3"/>
  <c r="E501" i="3"/>
  <c r="F501" i="3"/>
  <c r="E502" i="3"/>
  <c r="F502" i="3"/>
  <c r="E503" i="3"/>
  <c r="F503" i="3"/>
  <c r="E504" i="3"/>
  <c r="F504" i="3"/>
  <c r="E505" i="3"/>
  <c r="F505" i="3"/>
  <c r="E506" i="3"/>
  <c r="F506" i="3"/>
  <c r="E507" i="3"/>
  <c r="F507" i="3"/>
  <c r="E508" i="3"/>
  <c r="F508" i="3"/>
  <c r="E509" i="3"/>
  <c r="F509" i="3"/>
  <c r="E510" i="3"/>
  <c r="F510" i="3"/>
  <c r="E511" i="3"/>
  <c r="F511" i="3"/>
  <c r="E512" i="3"/>
  <c r="F512" i="3"/>
  <c r="E513" i="3"/>
  <c r="F513" i="3"/>
  <c r="E514" i="3"/>
  <c r="F514" i="3"/>
  <c r="E515" i="3"/>
  <c r="F515" i="3"/>
  <c r="E516" i="3"/>
  <c r="F516" i="3"/>
  <c r="E517" i="3"/>
  <c r="F517" i="3"/>
  <c r="E518" i="3"/>
  <c r="F518" i="3"/>
  <c r="E519" i="3"/>
  <c r="F519" i="3"/>
  <c r="E520" i="3"/>
  <c r="F520" i="3"/>
  <c r="E521" i="3"/>
  <c r="F521" i="3"/>
  <c r="E522" i="3"/>
  <c r="F522" i="3"/>
  <c r="E523" i="3"/>
  <c r="F523" i="3"/>
  <c r="E524" i="3"/>
  <c r="F524" i="3"/>
  <c r="E525" i="3"/>
  <c r="F525" i="3"/>
  <c r="E526" i="3"/>
  <c r="F526" i="3"/>
  <c r="E527" i="3"/>
  <c r="F527" i="3"/>
  <c r="E528" i="3"/>
  <c r="F528" i="3"/>
  <c r="E529" i="3"/>
  <c r="F529" i="3"/>
  <c r="E530" i="3"/>
  <c r="F530" i="3"/>
  <c r="E531" i="3"/>
  <c r="F531" i="3"/>
  <c r="E532" i="3"/>
  <c r="F532" i="3"/>
  <c r="E533" i="3"/>
  <c r="N533" i="3" s="1"/>
  <c r="F533" i="3"/>
  <c r="E534" i="3"/>
  <c r="N534" i="3" s="1"/>
  <c r="F534" i="3"/>
  <c r="E535" i="3"/>
  <c r="F535" i="3"/>
  <c r="E536" i="3"/>
  <c r="N536" i="3" s="1"/>
  <c r="F536" i="3"/>
  <c r="E537" i="3"/>
  <c r="F537" i="3"/>
  <c r="E538" i="3"/>
  <c r="N538" i="3" s="1"/>
  <c r="F538" i="3"/>
  <c r="E539" i="3"/>
  <c r="F539" i="3"/>
  <c r="E540" i="3"/>
  <c r="F540" i="3"/>
  <c r="E541" i="3"/>
  <c r="F541" i="3"/>
  <c r="N541" i="3" s="1"/>
  <c r="E542" i="3"/>
  <c r="F542" i="3"/>
  <c r="E543" i="3"/>
  <c r="F543" i="3"/>
  <c r="N543" i="3" s="1"/>
  <c r="E544" i="3"/>
  <c r="F544" i="3"/>
  <c r="E545" i="3"/>
  <c r="F545" i="3"/>
  <c r="E546" i="3"/>
  <c r="N546" i="3" s="1"/>
  <c r="F546" i="3"/>
  <c r="E547" i="3"/>
  <c r="F547" i="3"/>
  <c r="E548" i="3"/>
  <c r="F548" i="3"/>
  <c r="E549" i="3"/>
  <c r="F549" i="3"/>
  <c r="E550" i="3"/>
  <c r="F550" i="3"/>
  <c r="E551" i="3"/>
  <c r="F551" i="3"/>
  <c r="E552" i="3"/>
  <c r="F552" i="3"/>
  <c r="E553" i="3"/>
  <c r="F553" i="3"/>
  <c r="E554" i="3"/>
  <c r="F554" i="3"/>
  <c r="E555" i="3"/>
  <c r="F555" i="3"/>
  <c r="E556" i="3"/>
  <c r="N556" i="3" s="1"/>
  <c r="F556" i="3"/>
  <c r="F3" i="3"/>
  <c r="E3" i="3"/>
  <c r="N548" i="3" l="1"/>
  <c r="N547" i="3"/>
  <c r="N542" i="3"/>
  <c r="N532" i="3"/>
  <c r="N3" i="3"/>
  <c r="N537" i="3"/>
  <c r="N552" i="3"/>
  <c r="N540" i="3"/>
  <c r="N545" i="3"/>
  <c r="N535" i="3"/>
  <c r="N554" i="3"/>
  <c r="N555" i="3"/>
  <c r="N544" i="3"/>
  <c r="N549" i="3"/>
  <c r="N539" i="3"/>
  <c r="N551" i="3"/>
  <c r="N531" i="3"/>
  <c r="N553" i="3"/>
</calcChain>
</file>

<file path=xl/sharedStrings.xml><?xml version="1.0" encoding="utf-8"?>
<sst xmlns="http://schemas.openxmlformats.org/spreadsheetml/2006/main" count="7777" uniqueCount="2243">
  <si>
    <t>X</t>
  </si>
  <si>
    <t>Y</t>
  </si>
  <si>
    <t>Name</t>
  </si>
  <si>
    <t>Pin Type</t>
  </si>
  <si>
    <t>Description</t>
  </si>
  <si>
    <t>Acadamie of Classical Dance</t>
  </si>
  <si>
    <t>Dance</t>
  </si>
  <si>
    <t>Map Ref.: G07 (MG)</t>
  </si>
  <si>
    <t>Academy Armory</t>
  </si>
  <si>
    <t>City Guard</t>
  </si>
  <si>
    <t>Map Ref.: D06 (OP)</t>
  </si>
  <si>
    <t>Academy Barracks</t>
  </si>
  <si>
    <t>Map Ref.: D06 (OO)</t>
  </si>
  <si>
    <t>Academy Training Field</t>
  </si>
  <si>
    <t>Map Ref.: D06 (OQ)</t>
  </si>
  <si>
    <t>Alekhine's Boarding House</t>
  </si>
  <si>
    <t>Inn</t>
  </si>
  <si>
    <t>Map Ref.: U06 (AQ)</t>
  </si>
  <si>
    <t>Ambrosia</t>
  </si>
  <si>
    <t>Brothel</t>
  </si>
  <si>
    <t>Map Ref.: M06 (DW)</t>
  </si>
  <si>
    <t>Americus - Healer</t>
  </si>
  <si>
    <t>Medical</t>
  </si>
  <si>
    <t>Map Ref.: H20 (CN)</t>
  </si>
  <si>
    <t>Andre de Monteville's Spice Emporium</t>
  </si>
  <si>
    <t>Spices</t>
  </si>
  <si>
    <t>Map Ref.: V07 (BR)</t>
  </si>
  <si>
    <t>Anise Thyme's Spice Rack</t>
  </si>
  <si>
    <t>Map Ref.: G20 (CM)</t>
  </si>
  <si>
    <t>Apex Metalworks</t>
  </si>
  <si>
    <t>Metalwork</t>
  </si>
  <si>
    <t>Map Ref.: B13 (IF)</t>
  </si>
  <si>
    <t>Arkmonides - Scribe</t>
  </si>
  <si>
    <t>Scribe</t>
  </si>
  <si>
    <t>Map Ref.: G20 (CG)</t>
  </si>
  <si>
    <t>Avrodel's Wine Shop</t>
  </si>
  <si>
    <t>Vintner</t>
  </si>
  <si>
    <t>Map Ref.: M05 (DT)</t>
  </si>
  <si>
    <t>Bagohas - Wainwright</t>
  </si>
  <si>
    <t>Wainwright</t>
  </si>
  <si>
    <t>Map Ref.: J08 (OB)</t>
  </si>
  <si>
    <t>Bambur - Tobacconist</t>
  </si>
  <si>
    <t>Tobacco</t>
  </si>
  <si>
    <t>Map Ref.: A13 (HN)</t>
  </si>
  <si>
    <t>Baraggio's Warehouse and Yard</t>
  </si>
  <si>
    <t>Warehouse</t>
  </si>
  <si>
    <t>Map Ref.: D08 (ON)</t>
  </si>
  <si>
    <t>Bell Foundry</t>
  </si>
  <si>
    <t>Foundry</t>
  </si>
  <si>
    <t>Map Ref.: G07 (MB)</t>
  </si>
  <si>
    <t>Belossan - Locksmith</t>
  </si>
  <si>
    <t>Locksmith</t>
  </si>
  <si>
    <t>Map Ref.: K11 (JO)</t>
  </si>
  <si>
    <t>Bendelhoff's Supplies</t>
  </si>
  <si>
    <t>General Goods</t>
  </si>
  <si>
    <t>Map Ref.: H04 (QM)</t>
  </si>
  <si>
    <t>Bessie's Breadbox</t>
  </si>
  <si>
    <t>Baker</t>
  </si>
  <si>
    <t>Map Ref.: C12 (LG)</t>
  </si>
  <si>
    <t>Bethli's Iron Works</t>
  </si>
  <si>
    <t>Map Ref.: A15 (II)</t>
  </si>
  <si>
    <t>Bettina's</t>
  </si>
  <si>
    <t>General Clothing</t>
  </si>
  <si>
    <t>Map Ref.: O08 (DN)</t>
  </si>
  <si>
    <t>Bidurum - Chartmaker</t>
  </si>
  <si>
    <t>Nautical Supplies</t>
  </si>
  <si>
    <t>Map Ref.: U05 (AI)</t>
  </si>
  <si>
    <t>Black Padre's</t>
  </si>
  <si>
    <t>Tavern</t>
  </si>
  <si>
    <t>Map Ref.: U06 (AY)</t>
  </si>
  <si>
    <t>Residence</t>
  </si>
  <si>
    <t>Mansion</t>
  </si>
  <si>
    <t>Map Ref.: G18 (CY)</t>
  </si>
  <si>
    <t>Blackbourne Warehouse</t>
  </si>
  <si>
    <t>Map Ref.: U07 (BE)</t>
  </si>
  <si>
    <t>Boarshead Tavern</t>
  </si>
  <si>
    <t>Map Ref.: A11 (KI)</t>
  </si>
  <si>
    <t>Bolihank's Feed and Grain</t>
  </si>
  <si>
    <t>Livestock</t>
  </si>
  <si>
    <t>Map Ref.: C07 (QA)</t>
  </si>
  <si>
    <t>Bonanza Transport</t>
  </si>
  <si>
    <t>Courier</t>
  </si>
  <si>
    <t>Map Ref.: K08 (RB)</t>
  </si>
  <si>
    <t>Borin - Clockmaker</t>
  </si>
  <si>
    <t>Timepieces</t>
  </si>
  <si>
    <t>Map Ref.: B13 (KB)</t>
  </si>
  <si>
    <t>Boutique Lane</t>
  </si>
  <si>
    <t>Street</t>
  </si>
  <si>
    <t>Map Ref.: H20 (SH)</t>
  </si>
  <si>
    <t>Brannigan's Express</t>
  </si>
  <si>
    <t>Map Ref.: D08 (QC)</t>
  </si>
  <si>
    <t>Brisket Butcher Shop</t>
  </si>
  <si>
    <t>Butcher</t>
  </si>
  <si>
    <t>Map Ref.: W07 (CB)</t>
  </si>
  <si>
    <t>Brodsky's</t>
  </si>
  <si>
    <t>Dairy</t>
  </si>
  <si>
    <t>Map Ref.: J05 (QV)</t>
  </si>
  <si>
    <t>Bucklander's Import Emporium</t>
  </si>
  <si>
    <t>Map Ref.: E13 (IP)</t>
  </si>
  <si>
    <t>Bull of Anathor</t>
  </si>
  <si>
    <t>Map Ref.: M09 (SK)</t>
  </si>
  <si>
    <t>Burdee's Mill</t>
  </si>
  <si>
    <t>Mill</t>
  </si>
  <si>
    <t>Map Ref.: E14 (KG)</t>
  </si>
  <si>
    <t>Burgallo's Apothecary</t>
  </si>
  <si>
    <t>Apothecary</t>
  </si>
  <si>
    <t>Map Ref.: M07 (DL)</t>
  </si>
  <si>
    <t>Buteo Condor - Hawk Trainer</t>
  </si>
  <si>
    <t>Animal Trainer</t>
  </si>
  <si>
    <t>Map Ref.: B11 (KU)</t>
  </si>
  <si>
    <t>Cab and Trolley Barns</t>
  </si>
  <si>
    <t>Taxi/Bus</t>
  </si>
  <si>
    <t>Map Ref.: D08 (PI)</t>
  </si>
  <si>
    <t>Cacodyl - Potioner</t>
  </si>
  <si>
    <t>Potions</t>
  </si>
  <si>
    <t>Map Ref.: M03 (FA)</t>
  </si>
  <si>
    <t>Caddis Fly's Rooms</t>
  </si>
  <si>
    <t>Rooming House</t>
  </si>
  <si>
    <t>Map Ref.: L03 (EY)</t>
  </si>
  <si>
    <t>Map Ref.: U06 (BA)</t>
  </si>
  <si>
    <t>Caravan Station</t>
  </si>
  <si>
    <t>Map Ref.: U17 (RU)</t>
  </si>
  <si>
    <t>Carillon Tower</t>
  </si>
  <si>
    <t>Monument</t>
  </si>
  <si>
    <t>Map Ref.: G08 (ML)</t>
  </si>
  <si>
    <t>Carpeters Ltd.</t>
  </si>
  <si>
    <t>Textiles</t>
  </si>
  <si>
    <t>Map Ref.: K11 (JM)</t>
  </si>
  <si>
    <t>Cellini's Metalworks</t>
  </si>
  <si>
    <t>Map Ref.: F16 (RR)</t>
  </si>
  <si>
    <t>Centauri Transport Company</t>
  </si>
  <si>
    <t>Map Ref.: B09 (LM)</t>
  </si>
  <si>
    <t>Large House</t>
  </si>
  <si>
    <t>Map Ref.: H08 (MI)</t>
  </si>
  <si>
    <t>Circus Park</t>
  </si>
  <si>
    <t>Park</t>
  </si>
  <si>
    <t>Map Ref.: I07 (MH)</t>
  </si>
  <si>
    <t>Clanahan's Pub</t>
  </si>
  <si>
    <t>Map Ref.: P07 (EP)</t>
  </si>
  <si>
    <t>Cockleberry's Cabinets</t>
  </si>
  <si>
    <t>Carpenter</t>
  </si>
  <si>
    <t>Map Ref.: C12 (LF)</t>
  </si>
  <si>
    <t>College of Common Law</t>
  </si>
  <si>
    <t>University</t>
  </si>
  <si>
    <t>Map Ref.: F10 (LT)</t>
  </si>
  <si>
    <t>College of Natural Philosophy</t>
  </si>
  <si>
    <t>Map Ref.: F10 (LR)</t>
  </si>
  <si>
    <t>College of Physical Naturalism</t>
  </si>
  <si>
    <t>Map Ref.: F10 (JQ)</t>
  </si>
  <si>
    <t>College of Rhetoric</t>
  </si>
  <si>
    <t>Map Ref.: F10 (LS)</t>
  </si>
  <si>
    <t>College of the Mystic Arts</t>
  </si>
  <si>
    <t>Map Ref.: G09 (NK)</t>
  </si>
  <si>
    <t>Composer's Studio</t>
  </si>
  <si>
    <t>Music</t>
  </si>
  <si>
    <t>Map Ref.: H07 (MU)</t>
  </si>
  <si>
    <t>Condemned Building</t>
  </si>
  <si>
    <t>Ruin</t>
  </si>
  <si>
    <t>Map Ref.: K11 (JL)</t>
  </si>
  <si>
    <t>Coppergate Barracks</t>
  </si>
  <si>
    <t>Map Ref.: W10 (RV)</t>
  </si>
  <si>
    <t>Corridor Barracks</t>
  </si>
  <si>
    <t>Map Ref.: L10 (OF)</t>
  </si>
  <si>
    <t>Courts</t>
  </si>
  <si>
    <t>Courthouse</t>
  </si>
  <si>
    <t>Map Ref.: N16 (HH)</t>
  </si>
  <si>
    <t>Cowry Keltus - Investigations</t>
  </si>
  <si>
    <t>Investigations</t>
  </si>
  <si>
    <t>Map Ref.: O15 (GN)</t>
  </si>
  <si>
    <t>Culvarran Ltd. - Storage</t>
  </si>
  <si>
    <t>Map Ref.: U08 (BI)</t>
  </si>
  <si>
    <t>Cust Way Crotofiran Mission</t>
  </si>
  <si>
    <t>Mission</t>
  </si>
  <si>
    <t>Map Ref.: M03 (EV)</t>
  </si>
  <si>
    <t>Dalbert's Apothecary</t>
  </si>
  <si>
    <t>Map Ref.: V08 (BL)</t>
  </si>
  <si>
    <t>Damiano's Dwarven Work</t>
  </si>
  <si>
    <t>Toymaker</t>
  </si>
  <si>
    <t>Map Ref.: N12 (RO)</t>
  </si>
  <si>
    <t>Dancing Green</t>
  </si>
  <si>
    <t>Map Ref.: D11 (KV)</t>
  </si>
  <si>
    <t>Darius and Sons - Saddlers</t>
  </si>
  <si>
    <t>Saddler</t>
  </si>
  <si>
    <t>Map Ref.: B09 (LN)</t>
  </si>
  <si>
    <t>Map Ref.: F19 (DA)</t>
  </si>
  <si>
    <t>Map Ref.: I18 (CU)</t>
  </si>
  <si>
    <t>Delmarva's Fine Eggs and Poultry</t>
  </si>
  <si>
    <t>Poultry</t>
  </si>
  <si>
    <t>Map Ref.: F07 (QY)</t>
  </si>
  <si>
    <t>D'Lormaii Warehouses</t>
  </si>
  <si>
    <t>Map Ref.: U07 (BQ)</t>
  </si>
  <si>
    <t>Dockside Warehouse Services</t>
  </si>
  <si>
    <t>Map Ref.: V05 (BB)</t>
  </si>
  <si>
    <t>Dortmund's Furniture Compound</t>
  </si>
  <si>
    <t>Map Ref.: K07 (OJ)</t>
  </si>
  <si>
    <t>Dradd Plen-or - Healer's House</t>
  </si>
  <si>
    <t>Map Ref.: M03 (FN)</t>
  </si>
  <si>
    <t>Drum-makers</t>
  </si>
  <si>
    <t>Musical Instruments</t>
  </si>
  <si>
    <t>Map Ref.: H07 (MK)</t>
  </si>
  <si>
    <t>Dublin Lumber Yards</t>
  </si>
  <si>
    <t>Construction</t>
  </si>
  <si>
    <t>Map Ref.: P07 (EQ)</t>
  </si>
  <si>
    <t>Duhm's Rooms</t>
  </si>
  <si>
    <t>Map Ref.: W12 (AD)</t>
  </si>
  <si>
    <t>Dunk's Tavern</t>
  </si>
  <si>
    <t>Map Ref.: D07 (OM)</t>
  </si>
  <si>
    <t>Dunnigan's Pawnshop</t>
  </si>
  <si>
    <t>Pawnbroker</t>
  </si>
  <si>
    <t>Map Ref.: J04 (QR)</t>
  </si>
  <si>
    <t>Dunstan's - Pipe Weed</t>
  </si>
  <si>
    <t>Map Ref.: S15 (GO)</t>
  </si>
  <si>
    <t>Durbinmeyer's Mill</t>
  </si>
  <si>
    <t>Map Ref.: P07 (EK)</t>
  </si>
  <si>
    <t>Durki's Cement Mill</t>
  </si>
  <si>
    <t>Map Ref.: P08 (EI)</t>
  </si>
  <si>
    <t>Dynasty Potters</t>
  </si>
  <si>
    <t>Potter</t>
  </si>
  <si>
    <t>Map Ref.: W07 (BX)</t>
  </si>
  <si>
    <t>East Street Bakery</t>
  </si>
  <si>
    <t>Map Ref.: E13 (IW)</t>
  </si>
  <si>
    <t>Eldri - Weaponsmaster</t>
  </si>
  <si>
    <t>Training</t>
  </si>
  <si>
    <t>Map Ref.: A13 (HY)</t>
  </si>
  <si>
    <t>Ellerie Woolgather - seamstress</t>
  </si>
  <si>
    <t>Map Ref.: C11 (LJ)</t>
  </si>
  <si>
    <t>Elsi Klukoo - Watchmaker</t>
  </si>
  <si>
    <t>Map Ref.: H20 (CR)</t>
  </si>
  <si>
    <t>Elven Bowyer</t>
  </si>
  <si>
    <t>Weapons</t>
  </si>
  <si>
    <t>Map Ref.: G10 (JX)</t>
  </si>
  <si>
    <t>Elvish Herbs and Spices</t>
  </si>
  <si>
    <t>Map Ref.: D11 (LA)</t>
  </si>
  <si>
    <t>Emmetik - Greengrocer</t>
  </si>
  <si>
    <t>Greengrocer</t>
  </si>
  <si>
    <t>Map Ref.: L03 (EW)</t>
  </si>
  <si>
    <t>Map Ref.: G20 (CK)</t>
  </si>
  <si>
    <t>Empty Shop - Ferdinand's</t>
  </si>
  <si>
    <t>Other Landmark</t>
  </si>
  <si>
    <t>Map Ref.: H09 (NR)</t>
  </si>
  <si>
    <t>Enchantments Ltd.</t>
  </si>
  <si>
    <t>Magic</t>
  </si>
  <si>
    <t>Map Ref.: H09 (NU)</t>
  </si>
  <si>
    <t>Eng's Livery and Smithy</t>
  </si>
  <si>
    <t>Livery</t>
  </si>
  <si>
    <t>Map Ref.: M07 (DP)</t>
  </si>
  <si>
    <t>Eye of Newt</t>
  </si>
  <si>
    <t>Map Ref.: G09 (NH)</t>
  </si>
  <si>
    <t>Map Ref.: F19 (DB)</t>
  </si>
  <si>
    <t>Map Ref.: M03 (FF)</t>
  </si>
  <si>
    <t>Farspeakers</t>
  </si>
  <si>
    <t>Messages</t>
  </si>
  <si>
    <t>Map Ref.: G09 (NE)</t>
  </si>
  <si>
    <t>Fawset Street Market</t>
  </si>
  <si>
    <t>Victualer</t>
  </si>
  <si>
    <t>Map Ref.: W07 (BU)</t>
  </si>
  <si>
    <t>Feddy Rhal Courier Service</t>
  </si>
  <si>
    <t>Map Ref.: D07 (RC)</t>
  </si>
  <si>
    <t>Fine Silks and Fabrics</t>
  </si>
  <si>
    <t>Map Ref.: L11 (JB)</t>
  </si>
  <si>
    <t>Fisherman's Cay</t>
  </si>
  <si>
    <t>Map Ref.: R04 (EO)</t>
  </si>
  <si>
    <t>Flicker's Pawnshop</t>
  </si>
  <si>
    <t>Map Ref.: M03 (FB)</t>
  </si>
  <si>
    <t>Florina's Flutes</t>
  </si>
  <si>
    <t>Map Ref.: H08 (MA)</t>
  </si>
  <si>
    <t>Fountain of Porpidolphus</t>
  </si>
  <si>
    <t>Fountain</t>
  </si>
  <si>
    <t>Map Ref.: J05 (QU)</t>
  </si>
  <si>
    <t>Franklin's Odds Bodkins</t>
  </si>
  <si>
    <t>Dry Goods</t>
  </si>
  <si>
    <t>Map Ref.: W07 (BY)</t>
  </si>
  <si>
    <t>Free Companies House</t>
  </si>
  <si>
    <t>Guildhouse</t>
  </si>
  <si>
    <t>Map Ref.: M08 (OE)</t>
  </si>
  <si>
    <t>Frod's Theater</t>
  </si>
  <si>
    <t>Theatre</t>
  </si>
  <si>
    <t>Map Ref.: M07 (ED)</t>
  </si>
  <si>
    <t>Frogal's</t>
  </si>
  <si>
    <t>Map Ref.: I05 (OV)</t>
  </si>
  <si>
    <t>Gallows Hill</t>
  </si>
  <si>
    <t>Map Ref.: G03 (TA)</t>
  </si>
  <si>
    <t>Gallows Hill Tavern</t>
  </si>
  <si>
    <t>Map Ref.: H04 (QO)</t>
  </si>
  <si>
    <t>Gandi's Goods</t>
  </si>
  <si>
    <t>Map Ref.: G10 (JY)</t>
  </si>
  <si>
    <t>Garduccio's</t>
  </si>
  <si>
    <t>Map Ref.: P16 (GB)</t>
  </si>
  <si>
    <t>Geraldine's Rooms</t>
  </si>
  <si>
    <t>Map Ref.: W07 (BT)</t>
  </si>
  <si>
    <t>Geronde Family Residence</t>
  </si>
  <si>
    <t>Map Ref.: I21 (DE)</t>
  </si>
  <si>
    <t>Gip's Clothing</t>
  </si>
  <si>
    <t>Map Ref.: S12 (AB)</t>
  </si>
  <si>
    <t>Gladshaw's Aviary</t>
  </si>
  <si>
    <t>Map Ref.: H19 (CT)</t>
  </si>
  <si>
    <t>Golbur - Gem Appraiser</t>
  </si>
  <si>
    <t>Jeweler</t>
  </si>
  <si>
    <t>Map Ref.: C13 (HU)</t>
  </si>
  <si>
    <t>Gold Alley</t>
  </si>
  <si>
    <t>Map Ref.: Q17 (SM)</t>
  </si>
  <si>
    <t>Goodreau's Market</t>
  </si>
  <si>
    <t>Map Ref.: G20 (CJ)</t>
  </si>
  <si>
    <t>Grande Salle d'Armes</t>
  </si>
  <si>
    <t>Map Ref.: J04 (QQ)</t>
  </si>
  <si>
    <t>Greataxe Printing</t>
  </si>
  <si>
    <t>Written Word</t>
  </si>
  <si>
    <t>Map Ref.: A14 (TJ)</t>
  </si>
  <si>
    <t>Grey Halls Station</t>
  </si>
  <si>
    <t>Map Ref.: H04 (TV)</t>
  </si>
  <si>
    <t>Greysoul's Crotofiran Mission</t>
  </si>
  <si>
    <t>Map Ref.: N03 (SJ)</t>
  </si>
  <si>
    <t>Groton's Perfumery</t>
  </si>
  <si>
    <t>Perfumer</t>
  </si>
  <si>
    <t>Map Ref.: G20 (CH)</t>
  </si>
  <si>
    <t>Guardian</t>
  </si>
  <si>
    <t>Map Ref.: P18 (SB)</t>
  </si>
  <si>
    <t>Guildhall of Drayers</t>
  </si>
  <si>
    <t>Map Ref.: M16 (HD)</t>
  </si>
  <si>
    <t>Guildhall of Entertainers</t>
  </si>
  <si>
    <t>Map Ref.: G06 (LZ)</t>
  </si>
  <si>
    <t>Guildhall of Erectors</t>
  </si>
  <si>
    <t>Map Ref.: O17 (GZ)</t>
  </si>
  <si>
    <t>Guildhall of Provenders</t>
  </si>
  <si>
    <t>Map Ref.: N16 (HC)</t>
  </si>
  <si>
    <t>Guildhall of the Artisan</t>
  </si>
  <si>
    <t>Map Ref.: N16 (HE)</t>
  </si>
  <si>
    <t>Guildhall of the Hearth</t>
  </si>
  <si>
    <t>Map Ref.: N16 (HA)</t>
  </si>
  <si>
    <t>Guildhall of the Loom</t>
  </si>
  <si>
    <t>Map Ref.: O16 (HF)</t>
  </si>
  <si>
    <t>Guildhall of the Ship</t>
  </si>
  <si>
    <t>Map Ref.: M16 (HB)</t>
  </si>
  <si>
    <t>Guildhouse of Magic</t>
  </si>
  <si>
    <t>Map Ref.: G09 (NJ)</t>
  </si>
  <si>
    <t>Guski's Sausage Factory</t>
  </si>
  <si>
    <t>Map Ref.: L10 (OG)</t>
  </si>
  <si>
    <t>Hall of the Council of Boroughs</t>
  </si>
  <si>
    <t>Government</t>
  </si>
  <si>
    <t>Map Ref.: O16 (HG)</t>
  </si>
  <si>
    <t>Hall of the Word</t>
  </si>
  <si>
    <t>Map Ref.: G09 (NL)</t>
  </si>
  <si>
    <t>Halson's Stable &amp; Livery</t>
  </si>
  <si>
    <t>Stable</t>
  </si>
  <si>
    <t>Map Ref.: N05 (FR)</t>
  </si>
  <si>
    <t>Hamilton - Corder</t>
  </si>
  <si>
    <t>Corder</t>
  </si>
  <si>
    <t>Map Ref.: U05 (AF)</t>
  </si>
  <si>
    <t>Hamilton's Hockshop</t>
  </si>
  <si>
    <t>Map Ref.: L10 (OH)</t>
  </si>
  <si>
    <t>Harrido's Rooms to Let</t>
  </si>
  <si>
    <t>Map Ref.: J05 (QX)</t>
  </si>
  <si>
    <t>Hasbin - Healer</t>
  </si>
  <si>
    <t>Map Ref.: M02 (TP)</t>
  </si>
  <si>
    <t>Heaven's Gate</t>
  </si>
  <si>
    <t>Map Ref.: M06 (DS)</t>
  </si>
  <si>
    <t>Heidel Varrasch's Office</t>
  </si>
  <si>
    <t>Map Ref.: C08 (PM)</t>
  </si>
  <si>
    <t>Herundor Holdings</t>
  </si>
  <si>
    <t>Real Estate</t>
  </si>
  <si>
    <t>Map Ref.: G12 (TL)</t>
  </si>
  <si>
    <t>Hire-a-Mage</t>
  </si>
  <si>
    <t>Map Ref.: H09 (NT)</t>
  </si>
  <si>
    <t>Map Ref.: F20 (DC)</t>
  </si>
  <si>
    <t>Map Ref.: M20 (FG)</t>
  </si>
  <si>
    <t>Holiday Inn</t>
  </si>
  <si>
    <t>Map Ref.: R15 (SC)</t>
  </si>
  <si>
    <t>Holsum - Greengrocer</t>
  </si>
  <si>
    <t>Map Ref.: F05 (QL)</t>
  </si>
  <si>
    <t>House</t>
  </si>
  <si>
    <t>Map Ref.: G09 (OA)</t>
  </si>
  <si>
    <t>Map Ref.: A11 (KM)</t>
  </si>
  <si>
    <t>Map Ref.: G09 (NZ)</t>
  </si>
  <si>
    <t>Map Ref.: B10 (KR)</t>
  </si>
  <si>
    <t>Map Ref.: E10 (LO)</t>
  </si>
  <si>
    <t>Map Ref.: A11 (KN)</t>
  </si>
  <si>
    <t>Honest Boris - Fine Jewellery</t>
  </si>
  <si>
    <t>Map Ref.: U06 (AR)</t>
  </si>
  <si>
    <t>Honest John the Used Horse Dealer</t>
  </si>
  <si>
    <t>Map Ref.: B08 (PR)</t>
  </si>
  <si>
    <t>Honsen's Weapons Foundry</t>
  </si>
  <si>
    <t>Map Ref.: E06 (QG)</t>
  </si>
  <si>
    <t>Hood - Fletching and Bowery</t>
  </si>
  <si>
    <t>Map Ref.: E06 (QI)</t>
  </si>
  <si>
    <t>Horn and Hardart</t>
  </si>
  <si>
    <t>Map Ref.: G07 (MX)</t>
  </si>
  <si>
    <t>Horsegate Barracks</t>
  </si>
  <si>
    <t>Map Ref.: C07 (PF)</t>
  </si>
  <si>
    <t>Hotel d'Ville</t>
  </si>
  <si>
    <t>Map Ref.: I05 (QT)</t>
  </si>
  <si>
    <t>Map Ref.: G09 (NY)</t>
  </si>
  <si>
    <t>Map Ref.: V09 (BM)</t>
  </si>
  <si>
    <t>Map Ref.: N02 (FZ)</t>
  </si>
  <si>
    <t>House of Fashion</t>
  </si>
  <si>
    <t>Map Ref.: V08 (AN)</t>
  </si>
  <si>
    <t>House of Flanderin</t>
  </si>
  <si>
    <t>Map Ref.: C11 (KY)</t>
  </si>
  <si>
    <t>House of Hanki</t>
  </si>
  <si>
    <t>Map Ref.: N20 (TQ)</t>
  </si>
  <si>
    <t>House of Hofstra</t>
  </si>
  <si>
    <t>Banking</t>
  </si>
  <si>
    <t>Map Ref.: Q16 (GC)</t>
  </si>
  <si>
    <t>Map Ref.: P04 (TF)</t>
  </si>
  <si>
    <t>Map Ref.: L05 (FH)</t>
  </si>
  <si>
    <t>House of Linneas Mauray</t>
  </si>
  <si>
    <t>Map Ref.: V08 (BN)</t>
  </si>
  <si>
    <t>Map Ref.: J10 (OD)</t>
  </si>
  <si>
    <t>Map Ref.: N16 (GY)</t>
  </si>
  <si>
    <t>Map Ref.: H07 (MT)</t>
  </si>
  <si>
    <t>House of Rand</t>
  </si>
  <si>
    <t>Map Ref.: Q16 (GD)</t>
  </si>
  <si>
    <t>Hrubilasz Riding Academy</t>
  </si>
  <si>
    <t>Map Ref.: B09 (PT)</t>
  </si>
  <si>
    <t>Hughar Wolfskill - trained canines</t>
  </si>
  <si>
    <t>Map Ref.: C09 (QZ)</t>
  </si>
  <si>
    <t>Hyrim's Looms</t>
  </si>
  <si>
    <t>Map Ref.: W07 (BW)</t>
  </si>
  <si>
    <t>Illusionist's Park</t>
  </si>
  <si>
    <t>Map Ref.: G09 (NI)</t>
  </si>
  <si>
    <t>Ilrin the Bowyer</t>
  </si>
  <si>
    <t>Map Ref.: C11 (KZ)</t>
  </si>
  <si>
    <t>Institute of Mathematics</t>
  </si>
  <si>
    <t>Map Ref.: F10 (LQ)</t>
  </si>
  <si>
    <t>Instruments 'n' Stuff</t>
  </si>
  <si>
    <t>Map Ref.: F08 (TR)</t>
  </si>
  <si>
    <t>Iron Gate Barracks</t>
  </si>
  <si>
    <t>Map Ref.: A12 (KA)</t>
  </si>
  <si>
    <t>Iron Phalanx</t>
  </si>
  <si>
    <t>Map Ref.: N09 (SO)</t>
  </si>
  <si>
    <t>Jakkob the Sailmaker</t>
  </si>
  <si>
    <t>Map Ref.: U05 (AO)</t>
  </si>
  <si>
    <t>Jarien the Jeweler</t>
  </si>
  <si>
    <t>Map Ref.: N13 (RJ)</t>
  </si>
  <si>
    <t>Jasmine's House of Tattoos</t>
  </si>
  <si>
    <t>Tattoos</t>
  </si>
  <si>
    <t>Map Ref.: U05 (AG)</t>
  </si>
  <si>
    <t>Judgement Gate Barracks</t>
  </si>
  <si>
    <t>Map Ref.: H03 (PE)</t>
  </si>
  <si>
    <t>Karki's Sweets and Flowers</t>
  </si>
  <si>
    <t>Confectioner</t>
  </si>
  <si>
    <t>Map Ref.: M07 (DK)</t>
  </si>
  <si>
    <t>Katzi's Dwarven Deli</t>
  </si>
  <si>
    <t>Restaurant</t>
  </si>
  <si>
    <t>Map Ref.: B14 (IJ)</t>
  </si>
  <si>
    <t>Kazan the Mender</t>
  </si>
  <si>
    <t>Repair</t>
  </si>
  <si>
    <t>Map Ref.: P10 (RL)</t>
  </si>
  <si>
    <t>Map Ref.: D11 (LB)</t>
  </si>
  <si>
    <t>Kelvar - Armorer</t>
  </si>
  <si>
    <t>Armor</t>
  </si>
  <si>
    <t>Map Ref.: G20 (CP)</t>
  </si>
  <si>
    <t>Kelvin the Tinsmith</t>
  </si>
  <si>
    <t>Map Ref.: P04 (TB)</t>
  </si>
  <si>
    <t>Kenzo's Caravan Services</t>
  </si>
  <si>
    <t>Caravan</t>
  </si>
  <si>
    <t>Map Ref.: C06 (QE)</t>
  </si>
  <si>
    <t>Keziniel - Scribe</t>
  </si>
  <si>
    <t>Map Ref.: K11 (JN)</t>
  </si>
  <si>
    <t>Klekbek</t>
  </si>
  <si>
    <t>Map Ref.: A14 (IA)</t>
  </si>
  <si>
    <t>Kobri's Cobblery</t>
  </si>
  <si>
    <t>Footwear</t>
  </si>
  <si>
    <t>Map Ref.: B12 (KD)</t>
  </si>
  <si>
    <t>Konig - Master Armorer</t>
  </si>
  <si>
    <t>Map Ref.: B14 (HQ)</t>
  </si>
  <si>
    <t>Kurgan's Hill Apex</t>
  </si>
  <si>
    <t>Map Ref.: P03 (FO)</t>
  </si>
  <si>
    <t>Kurgan's Rout</t>
  </si>
  <si>
    <t>Map Ref.: L05 (EE)</t>
  </si>
  <si>
    <t>Kwartz - Stonemason</t>
  </si>
  <si>
    <t>Map Ref.: A10 (KL)</t>
  </si>
  <si>
    <t>Lanella - Silversmith</t>
  </si>
  <si>
    <t>Silversmith</t>
  </si>
  <si>
    <t>Map Ref.: B14 (KC)</t>
  </si>
  <si>
    <t>Lazarini's Baths</t>
  </si>
  <si>
    <t>Other Services</t>
  </si>
  <si>
    <t>Map Ref.: T09 (BP)</t>
  </si>
  <si>
    <t>Lexington Fish Market</t>
  </si>
  <si>
    <t>Fishmonger</t>
  </si>
  <si>
    <t>Map Ref.: Q05 (EM)</t>
  </si>
  <si>
    <t>Lilies of the Valley</t>
  </si>
  <si>
    <t>Map Ref.: P03 (TC)</t>
  </si>
  <si>
    <t>Locks and Keys Made</t>
  </si>
  <si>
    <t>Map Ref.: E06 (QJ)</t>
  </si>
  <si>
    <t>Lohisian Place</t>
  </si>
  <si>
    <t>Map Ref.: R12 (TT)</t>
  </si>
  <si>
    <t>Longshoreman's Inc.</t>
  </si>
  <si>
    <t>Stevedores</t>
  </si>
  <si>
    <t>Map Ref.: T06 (AZ)</t>
  </si>
  <si>
    <t>Lorien Leathergoods</t>
  </si>
  <si>
    <t>Leatherworker</t>
  </si>
  <si>
    <t>Map Ref.: K11 (JC)</t>
  </si>
  <si>
    <t>Ludwig's Brauhaus</t>
  </si>
  <si>
    <t>Map Ref.: M09 (UA)</t>
  </si>
  <si>
    <t>Lutes and Viols</t>
  </si>
  <si>
    <t>Map Ref.: G08 (MO)</t>
  </si>
  <si>
    <t>Lydian House</t>
  </si>
  <si>
    <t>Map Ref.: M10 (UB)</t>
  </si>
  <si>
    <t>Maas Turkar - Weaponeer</t>
  </si>
  <si>
    <t>Map Ref.: G20 (CO)</t>
  </si>
  <si>
    <t>Madame Ruth's</t>
  </si>
  <si>
    <t>Map Ref.: M06 (DY)</t>
  </si>
  <si>
    <t>Madame Zanwig's</t>
  </si>
  <si>
    <t>Map Ref.: M03 (TE)</t>
  </si>
  <si>
    <t>Madame Zaurig - Oracle</t>
  </si>
  <si>
    <t>Map Ref.: M03 (FD)</t>
  </si>
  <si>
    <t>Maggia Family Residence</t>
  </si>
  <si>
    <t>Map Ref.: I19 (CV)</t>
  </si>
  <si>
    <t>Magic Books and Scrolls</t>
  </si>
  <si>
    <t>Map Ref.: H09 (ND)</t>
  </si>
  <si>
    <t>Mahti - Weaponeer</t>
  </si>
  <si>
    <t>Map Ref.: B12 (HP)</t>
  </si>
  <si>
    <t>Malakki - Jewelsmith</t>
  </si>
  <si>
    <t>Map Ref.: B14 (HX)</t>
  </si>
  <si>
    <t>Malbar Printing and Bindery</t>
  </si>
  <si>
    <t>Map Ref.: A11 (KH)</t>
  </si>
  <si>
    <t>Malikor's Exchange</t>
  </si>
  <si>
    <t>Map Ref.: L04 (FM)</t>
  </si>
  <si>
    <t>Malin Kenny - Cobbler</t>
  </si>
  <si>
    <t>Map Ref.: W07 (BV)</t>
  </si>
  <si>
    <t>Mama Rosa's Rooming House</t>
  </si>
  <si>
    <t>Map Ref.: M07 (DO)</t>
  </si>
  <si>
    <t>Manalla - Seamstress</t>
  </si>
  <si>
    <t>Map Ref.: K10 (JT)</t>
  </si>
  <si>
    <t>Market Barracks</t>
  </si>
  <si>
    <t>Map Ref.: L05 (EF)</t>
  </si>
  <si>
    <t>Martin Metals</t>
  </si>
  <si>
    <t>Artist</t>
  </si>
  <si>
    <t>Map Ref.: B14 (HS)</t>
  </si>
  <si>
    <t>Mayor's Palace</t>
  </si>
  <si>
    <t>Map Ref.: O16 (HI)</t>
  </si>
  <si>
    <t>Melanie's</t>
  </si>
  <si>
    <t>Map Ref.: Q14 (GP)</t>
  </si>
  <si>
    <t>Meriwether - Cordwainer</t>
  </si>
  <si>
    <t>Map Ref.: R14 (GT)</t>
  </si>
  <si>
    <t>Merry Maid Tavern</t>
  </si>
  <si>
    <t>Map Ref.: W07 (BZ)</t>
  </si>
  <si>
    <t>Meryn's Elvish Cloaks</t>
  </si>
  <si>
    <t>Map Ref.: O12 (RM)</t>
  </si>
  <si>
    <t>Meydal - Matchmaker</t>
  </si>
  <si>
    <t>Map Ref.: A14 (HT)</t>
  </si>
  <si>
    <t>Minotaur Metalworks</t>
  </si>
  <si>
    <t>Map Ref.: B13 (IK)</t>
  </si>
  <si>
    <t>Mint Station</t>
  </si>
  <si>
    <t>Map Ref.: R13 (TU)</t>
  </si>
  <si>
    <t>Mintaki's</t>
  </si>
  <si>
    <t>Map Ref.: H04 (QN)</t>
  </si>
  <si>
    <t>Mintar - Ship's Weaponry</t>
  </si>
  <si>
    <t>Map Ref.: U06 (AT)</t>
  </si>
  <si>
    <t>Mixolydian Mode</t>
  </si>
  <si>
    <t>Map Ref.: H07 (MW)</t>
  </si>
  <si>
    <t>Mordecai - Surgeon</t>
  </si>
  <si>
    <t>Map Ref.: M07 (DI)</t>
  </si>
  <si>
    <t>Mother Yosofal the Witch</t>
  </si>
  <si>
    <t>Map Ref.: P11 (RF)</t>
  </si>
  <si>
    <t>Mrs. McKenzie's Boarding House</t>
  </si>
  <si>
    <t>Map Ref.: W07 (CA)</t>
  </si>
  <si>
    <t>Mrs. O'Leary's Rooms</t>
  </si>
  <si>
    <t>Map Ref.: P06 (ES)</t>
  </si>
  <si>
    <t>Mudikar's Saddlery and Tack Shop</t>
  </si>
  <si>
    <t>Map Ref.: C09 (PX)</t>
  </si>
  <si>
    <t>Muses' Theatre</t>
  </si>
  <si>
    <t>Map Ref.: G07 (MZ)</t>
  </si>
  <si>
    <t>Music Copiers</t>
  </si>
  <si>
    <t>Map Ref.: H07 (MC)</t>
  </si>
  <si>
    <t>Mustard and Fennel</t>
  </si>
  <si>
    <t>Herbalist</t>
  </si>
  <si>
    <t>Map Ref.: J05 (QW)</t>
  </si>
  <si>
    <t>Mystic Valley Inn</t>
  </si>
  <si>
    <t>Map Ref.: G08 (LY)</t>
  </si>
  <si>
    <t>Nicodemus Bottleboro - Apothecary</t>
  </si>
  <si>
    <t>Map Ref.: D12 (LH)</t>
  </si>
  <si>
    <t>Nimrodel's South City Shipyard</t>
  </si>
  <si>
    <t>Map Ref.: T07 (BC)</t>
  </si>
  <si>
    <t>Nobles' Way Station</t>
  </si>
  <si>
    <t>Map Ref.: K16 (RW)</t>
  </si>
  <si>
    <t>Northgate Barracks</t>
  </si>
  <si>
    <t>Map Ref.: P21 (RX)</t>
  </si>
  <si>
    <t>No-Yen Drachmah - Goldsmith</t>
  </si>
  <si>
    <t>Map Ref.: P19 (GK)</t>
  </si>
  <si>
    <t>Numirolakos the Gentler</t>
  </si>
  <si>
    <t>Map Ref.: C09 (PJ)</t>
  </si>
  <si>
    <t>Odino's Dance and Tumbling</t>
  </si>
  <si>
    <t>Map Ref.: G08 (MQ)</t>
  </si>
  <si>
    <t>Office of Ports and Shipping</t>
  </si>
  <si>
    <t>Map Ref.: U07 (BG)</t>
  </si>
  <si>
    <t>Map Ref.: F18 (CZ)</t>
  </si>
  <si>
    <t>Old City Walls</t>
  </si>
  <si>
    <t>Map Ref.: E08 (SR)</t>
  </si>
  <si>
    <t>Old Lea's Sweets</t>
  </si>
  <si>
    <t>Map Ref.: N13 (RH)</t>
  </si>
  <si>
    <t>Old Wall Market</t>
  </si>
  <si>
    <t>Map Ref.: P05 (EN)</t>
  </si>
  <si>
    <t>Oldgate Tavern</t>
  </si>
  <si>
    <t>Map Ref.: G10 (LV)</t>
  </si>
  <si>
    <t>Open Air Theater of the Performing Arts</t>
  </si>
  <si>
    <t>Map Ref.: G07 (NA)</t>
  </si>
  <si>
    <t>Othmar the Astrologer</t>
  </si>
  <si>
    <t>Map Ref.: G20 (CF)</t>
  </si>
  <si>
    <t>Otto Chubb - Butcher</t>
  </si>
  <si>
    <t>Map Ref.: E13 (IT)</t>
  </si>
  <si>
    <t>Paddy's Wagons</t>
  </si>
  <si>
    <t>Map Ref.: P07 (ER)</t>
  </si>
  <si>
    <t>Pando's Leather Gear</t>
  </si>
  <si>
    <t>Map Ref.: B09 (PW)</t>
  </si>
  <si>
    <t>Pane in the Glass</t>
  </si>
  <si>
    <t>Glass</t>
  </si>
  <si>
    <t>Map Ref.: R13 (SS)</t>
  </si>
  <si>
    <t>Pens and Barns of the Varrasches</t>
  </si>
  <si>
    <t>Map Ref.: C08 (PL)</t>
  </si>
  <si>
    <t>Petals of the Rose</t>
  </si>
  <si>
    <t>Map Ref.: U05 (AJ)</t>
  </si>
  <si>
    <t>Pierre Farce's House of Beauty</t>
  </si>
  <si>
    <t>Cosmetician</t>
  </si>
  <si>
    <t>Map Ref.: G20 (CI)</t>
  </si>
  <si>
    <t>Pilgrim's Progress Tavern</t>
  </si>
  <si>
    <t>Map Ref.: Q13 (SP)</t>
  </si>
  <si>
    <t>Piper's</t>
  </si>
  <si>
    <t>Map Ref.: N20 (NP)</t>
  </si>
  <si>
    <t>Pirandello's Pastries</t>
  </si>
  <si>
    <t>Map Ref.: H20 (CQ)</t>
  </si>
  <si>
    <t>Piringolli's</t>
  </si>
  <si>
    <t>Map Ref.: I06 (PD)</t>
  </si>
  <si>
    <t>Pocheffski's School of Arms</t>
  </si>
  <si>
    <t>Map Ref.: P04 (FX)</t>
  </si>
  <si>
    <t>Poor Larry's</t>
  </si>
  <si>
    <t>Map Ref.: A09 (PV)</t>
  </si>
  <si>
    <t>Potiphar's House</t>
  </si>
  <si>
    <t>Map Ref.: M07 (EA)</t>
  </si>
  <si>
    <t>Professor's Challenge</t>
  </si>
  <si>
    <t>Gaming</t>
  </si>
  <si>
    <t>Map Ref.: J10 (JF)</t>
  </si>
  <si>
    <t>Profundo's Studio</t>
  </si>
  <si>
    <t>Map Ref.: H06 (SL)</t>
  </si>
  <si>
    <t>Public Corrals and Pens</t>
  </si>
  <si>
    <t>Map Ref.: B08 (PS)</t>
  </si>
  <si>
    <t>Public Square</t>
  </si>
  <si>
    <t>Square</t>
  </si>
  <si>
    <t>Map Ref.: H08 (NB)</t>
  </si>
  <si>
    <t>Public Stables and Rental</t>
  </si>
  <si>
    <t>Map Ref.: C08 (PY)</t>
  </si>
  <si>
    <t>Queen Takes Pawn</t>
  </si>
  <si>
    <t>Map Ref.: K11 (IZ)</t>
  </si>
  <si>
    <t>R. Thor Gofree - Talent Scout</t>
  </si>
  <si>
    <t>Map Ref.: H07 (NO)</t>
  </si>
  <si>
    <t>Rackley's Museum of Oddities</t>
  </si>
  <si>
    <t>Museum</t>
  </si>
  <si>
    <t>Map Ref.: J04 (OZ)</t>
  </si>
  <si>
    <t>Raku the Potter</t>
  </si>
  <si>
    <t>Map Ref.: O12 (RG)</t>
  </si>
  <si>
    <t>Ralki - Men's Tailor</t>
  </si>
  <si>
    <t>Map Ref.: B13 (IE)</t>
  </si>
  <si>
    <t>Map Ref.: N19 (UC)</t>
  </si>
  <si>
    <t>Red Nick's Tavern</t>
  </si>
  <si>
    <t>Map Ref.: U05 (AX)</t>
  </si>
  <si>
    <t>Redonso's Grain Mill</t>
  </si>
  <si>
    <t>Map Ref.: T07 (BF)</t>
  </si>
  <si>
    <t>Map Ref.: P03 (TH)</t>
  </si>
  <si>
    <t>Map Ref.: P04 (TG)</t>
  </si>
  <si>
    <t>Map Ref.: D13 (IQ)</t>
  </si>
  <si>
    <t>Map Ref.: C13 (IY)</t>
  </si>
  <si>
    <t>Map Ref.: M07 (DM)</t>
  </si>
  <si>
    <t>Roah the Tailor</t>
  </si>
  <si>
    <t>Tailor</t>
  </si>
  <si>
    <t>Map Ref.: M03 (FC)</t>
  </si>
  <si>
    <t>Rocky's Tavern and Arena</t>
  </si>
  <si>
    <t>Map Ref.: N04 (FT)</t>
  </si>
  <si>
    <t>Rose Garden Inn</t>
  </si>
  <si>
    <t>Map Ref.: G21 (DF)</t>
  </si>
  <si>
    <t>Ruin of Rogues' Roost</t>
  </si>
  <si>
    <t>Map Ref.: L03 (ET)</t>
  </si>
  <si>
    <t>Sakbar - Excavation Contractor</t>
  </si>
  <si>
    <t>Map Ref.: C13 (HZ)</t>
  </si>
  <si>
    <t>Samoradat's Soup</t>
  </si>
  <si>
    <t>Map Ref.: P11 (RK)</t>
  </si>
  <si>
    <t>Map Ref.: H21 (CX)</t>
  </si>
  <si>
    <t>Scholl's Tavern</t>
  </si>
  <si>
    <t>Map Ref.: G07 (MS)</t>
  </si>
  <si>
    <t>School of Alchemy</t>
  </si>
  <si>
    <t>Map Ref.: F11 (LP)</t>
  </si>
  <si>
    <t>School of Medicine</t>
  </si>
  <si>
    <t>Map Ref.: F10 (SI)</t>
  </si>
  <si>
    <t>Scribe and Messenger Service</t>
  </si>
  <si>
    <t>Map Ref.: G20 (CE)</t>
  </si>
  <si>
    <t>Sew Simple</t>
  </si>
  <si>
    <t>Seamstress</t>
  </si>
  <si>
    <t>Map Ref.: O03 (FY)</t>
  </si>
  <si>
    <t>Shadowfall Crotofiran Mission</t>
  </si>
  <si>
    <t>Map Ref.: P04 (FW)</t>
  </si>
  <si>
    <t>Shield Barracks</t>
  </si>
  <si>
    <t>Map Ref.: G21 (RY)</t>
  </si>
  <si>
    <t>Ship's Chandler - Martin Boggle</t>
  </si>
  <si>
    <t>Map Ref.: U05 (AS)</t>
  </si>
  <si>
    <t>Shoes &amp; Saddles</t>
  </si>
  <si>
    <t>Blacksmith</t>
  </si>
  <si>
    <t>Map Ref.: G20 (CS)</t>
  </si>
  <si>
    <t>Sign of the Jester</t>
  </si>
  <si>
    <t>Map Ref.: H07 (MP)</t>
  </si>
  <si>
    <t>Silvante's</t>
  </si>
  <si>
    <t>Map Ref.: M20 (SW)</t>
  </si>
  <si>
    <t>Sirius the Scribe</t>
  </si>
  <si>
    <t>Map Ref.: O10 (RN)</t>
  </si>
  <si>
    <t>Sorilla' s Fresh Produce</t>
  </si>
  <si>
    <t>Map Ref.: D11 (LC)</t>
  </si>
  <si>
    <t>Soul's Anchor</t>
  </si>
  <si>
    <t>Map Ref.: U06 (AU)</t>
  </si>
  <si>
    <t>Southbridge Barracks</t>
  </si>
  <si>
    <t>Map Ref.: P06 (EL)</t>
  </si>
  <si>
    <t>Spearchucker's</t>
  </si>
  <si>
    <t>Map Ref.: D06 (QF)</t>
  </si>
  <si>
    <t>Spectacular Spectacles</t>
  </si>
  <si>
    <t>Map Ref.: J10 (JI)</t>
  </si>
  <si>
    <t>Stables and Pens of Darankis t'Goran</t>
  </si>
  <si>
    <t>Map Ref.: B08 (PU)</t>
  </si>
  <si>
    <t>Stage Depot - Fargot &amp; Weishe</t>
  </si>
  <si>
    <t>Stagecoach</t>
  </si>
  <si>
    <t>Map Ref.: D07 (QB)</t>
  </si>
  <si>
    <t>Stammrig - Bootblack</t>
  </si>
  <si>
    <t>Map Ref.: A14 (HW)</t>
  </si>
  <si>
    <t>Starkedelve Brewery</t>
  </si>
  <si>
    <t>Brewer</t>
  </si>
  <si>
    <t>Map Ref.: A15 (IH)</t>
  </si>
  <si>
    <t>Starkindler</t>
  </si>
  <si>
    <t>Map Ref.: G09 (NG)</t>
  </si>
  <si>
    <t>Stock Yards</t>
  </si>
  <si>
    <t>Map Ref.: B08 (PQ)</t>
  </si>
  <si>
    <t>Stonecutter's Yards</t>
  </si>
  <si>
    <t>Map Ref.: P06 (EJ)</t>
  </si>
  <si>
    <t>Student Tenements</t>
  </si>
  <si>
    <t>Map Ref.: E09 (LU)</t>
  </si>
  <si>
    <t>Studio Lane</t>
  </si>
  <si>
    <t>Map Ref.: K18 (SY)</t>
  </si>
  <si>
    <t>Studio of Albrekki arn Dur - artist</t>
  </si>
  <si>
    <t>Map Ref.: A11 (KQ)</t>
  </si>
  <si>
    <t>Style Matters</t>
  </si>
  <si>
    <t>Map Ref.: H09 (NQ)</t>
  </si>
  <si>
    <t>Summ Mercenaries</t>
  </si>
  <si>
    <t>Mercenaries</t>
  </si>
  <si>
    <t>Map Ref.: L11 (JJ)</t>
  </si>
  <si>
    <t>Sundance - Inc.</t>
  </si>
  <si>
    <t>Map Ref.: H07 (MV)</t>
  </si>
  <si>
    <t>Suttler on the Green</t>
  </si>
  <si>
    <t>Map Ref.: E13 (IS)</t>
  </si>
  <si>
    <t>Sweet Springs</t>
  </si>
  <si>
    <t>Laundry</t>
  </si>
  <si>
    <t>Map Ref.: L11 (JK)</t>
  </si>
  <si>
    <t>Sym's Storage Company</t>
  </si>
  <si>
    <t>Map Ref.: U05 (AM)</t>
  </si>
  <si>
    <t>T. Barnum Pott Memorial Museum</t>
  </si>
  <si>
    <t>Map Ref.: C11 (LD)</t>
  </si>
  <si>
    <t>Tabitha's</t>
  </si>
  <si>
    <t>Map Ref.: P19 (GS)</t>
  </si>
  <si>
    <t>Tainley Family Residence</t>
  </si>
  <si>
    <t>Map Ref.: H20 (CW)</t>
  </si>
  <si>
    <t>Taki's Storage</t>
  </si>
  <si>
    <t>Map Ref.: I04 (QP)</t>
  </si>
  <si>
    <t>Tambel - Sculptress</t>
  </si>
  <si>
    <t>Map Ref.: C14 (HV)</t>
  </si>
  <si>
    <t>Tandouray Spice Co.</t>
  </si>
  <si>
    <t>Map Ref.: U07 (BH)</t>
  </si>
  <si>
    <t>Tandy - Leathers</t>
  </si>
  <si>
    <t>Map Ref.: V15 (AC)</t>
  </si>
  <si>
    <t>Tarmialda 'The Loft'</t>
  </si>
  <si>
    <t>Map Ref.: G11 (JE)</t>
  </si>
  <si>
    <t>Tedius and Sprig</t>
  </si>
  <si>
    <t>Map Ref.: C08 (PZ)</t>
  </si>
  <si>
    <t>Teleril - Architect</t>
  </si>
  <si>
    <t>Map Ref.: L11 (JA)</t>
  </si>
  <si>
    <t>Temple of Ariel</t>
  </si>
  <si>
    <t>Temple</t>
  </si>
  <si>
    <t>Map Ref.: P13 (RZ)</t>
  </si>
  <si>
    <t>Temple of Azriel</t>
  </si>
  <si>
    <t>Map Ref.: Q12 (TX)</t>
  </si>
  <si>
    <t>Temple of Ea</t>
  </si>
  <si>
    <t>Map Ref.: R11 (HM)</t>
  </si>
  <si>
    <t>Temple of Etheah</t>
  </si>
  <si>
    <t>Map Ref.: P13 (RS)</t>
  </si>
  <si>
    <t>Temple of Istara</t>
  </si>
  <si>
    <t>Map Ref.: Q12 (BO)</t>
  </si>
  <si>
    <t>Temple of Ladros</t>
  </si>
  <si>
    <t>Map Ref.: N15 (GW)</t>
  </si>
  <si>
    <t>Temple of Maedhros</t>
  </si>
  <si>
    <t>Map Ref.: P13 (NN)</t>
  </si>
  <si>
    <t>Temple of Mandos</t>
  </si>
  <si>
    <t>Map Ref.: Q12 (TW)</t>
  </si>
  <si>
    <t>Temple of Narconal</t>
  </si>
  <si>
    <t>Map Ref.: P12 (HK)</t>
  </si>
  <si>
    <t>Temple of Nenya</t>
  </si>
  <si>
    <t>Map Ref.: O14 (GV)</t>
  </si>
  <si>
    <t>Temple of Serindë</t>
  </si>
  <si>
    <t>Map Ref.: M15 (GU)</t>
  </si>
  <si>
    <t>Temple of Strathos</t>
  </si>
  <si>
    <t>Map Ref.: O14 (GX)</t>
  </si>
  <si>
    <t>Temple of Thalos</t>
  </si>
  <si>
    <t>Map Ref.: Q12 (HL)</t>
  </si>
  <si>
    <t>Temple of Vairë</t>
  </si>
  <si>
    <t>Map Ref.: Q13 (TY)</t>
  </si>
  <si>
    <t>Tent of Miranda</t>
  </si>
  <si>
    <t>Map Ref.: O11 (RI)</t>
  </si>
  <si>
    <t>The Abbey of Eollana</t>
  </si>
  <si>
    <t>Abbey</t>
  </si>
  <si>
    <t>Map Ref.: C10 (KX)</t>
  </si>
  <si>
    <t>The Academy</t>
  </si>
  <si>
    <t>Map Ref.: D06 (RT)</t>
  </si>
  <si>
    <t>The Aerie</t>
  </si>
  <si>
    <t>Map Ref.: F16 (CD)</t>
  </si>
  <si>
    <t>The Arrow's Flight</t>
  </si>
  <si>
    <t>Map Ref.: C08 (PK)</t>
  </si>
  <si>
    <t>The Auction Block</t>
  </si>
  <si>
    <t>Map Ref.: C07 (PN)</t>
  </si>
  <si>
    <t>The Auction Pens</t>
  </si>
  <si>
    <t>Map Ref.: C07 (PO)</t>
  </si>
  <si>
    <t>The Axe and Anvil</t>
  </si>
  <si>
    <t>Map Ref.: A11 (KK)</t>
  </si>
  <si>
    <t>The Bandersnatch Inn</t>
  </si>
  <si>
    <t>Map Ref.: E13 (IN)</t>
  </si>
  <si>
    <t>The Bar None</t>
  </si>
  <si>
    <t>Map Ref.: J05 (QS)</t>
  </si>
  <si>
    <t>The Bargain Barn</t>
  </si>
  <si>
    <t>Map Ref.: M03 (FE)</t>
  </si>
  <si>
    <t>The Barn</t>
  </si>
  <si>
    <t>Map Ref.: H04 (TS)</t>
  </si>
  <si>
    <t>The Bent Page</t>
  </si>
  <si>
    <t>Map Ref.: J10 (JG)</t>
  </si>
  <si>
    <t>The Black Halls</t>
  </si>
  <si>
    <t>Prison</t>
  </si>
  <si>
    <t>Map Ref.: O16 (GL)</t>
  </si>
  <si>
    <t>The Black Swan</t>
  </si>
  <si>
    <t>Map Ref.: T15 (SA)</t>
  </si>
  <si>
    <t>The Black Whip</t>
  </si>
  <si>
    <t>Map Ref.: M07 (DU)</t>
  </si>
  <si>
    <t>The Blue Harper</t>
  </si>
  <si>
    <t>Map Ref.: L08 (TN)</t>
  </si>
  <si>
    <t>The Blue Lantern</t>
  </si>
  <si>
    <t>Map Ref.: M07 (DG)</t>
  </si>
  <si>
    <t>The Blue Moon Tavern</t>
  </si>
  <si>
    <t>Map Ref.: P04 (SX)</t>
  </si>
  <si>
    <t>The Boar's Head</t>
  </si>
  <si>
    <t>Map Ref.: I05 (OU)</t>
  </si>
  <si>
    <t>The Bookworm</t>
  </si>
  <si>
    <t>Map Ref.: G10 (JZ)</t>
  </si>
  <si>
    <t>The Brass Blade</t>
  </si>
  <si>
    <t>Map Ref.: N08 (TZ)</t>
  </si>
  <si>
    <t>The Briarthorn Inn</t>
  </si>
  <si>
    <t>Map Ref.: L04 (FJ)</t>
  </si>
  <si>
    <t>The Bronze Rat Memorial</t>
  </si>
  <si>
    <t>Map Ref.: P03 (FP)</t>
  </si>
  <si>
    <t>The Citadel</t>
  </si>
  <si>
    <t>Map Ref.: K13 (RE)</t>
  </si>
  <si>
    <t>The Cleff</t>
  </si>
  <si>
    <t>Map Ref.: H07 (ME)</t>
  </si>
  <si>
    <t>The Clothes Closet</t>
  </si>
  <si>
    <t>Map Ref.: C13 (ID)</t>
  </si>
  <si>
    <t>The Cock and Bull</t>
  </si>
  <si>
    <t>Map Ref.: G05 (OY)</t>
  </si>
  <si>
    <t>The Crocked Constable</t>
  </si>
  <si>
    <t>Map Ref.: J05 (PA)</t>
  </si>
  <si>
    <t>The Crystal Ship</t>
  </si>
  <si>
    <t>Map Ref.: U05 (AK)</t>
  </si>
  <si>
    <t>The Dancing Horse</t>
  </si>
  <si>
    <t>Map Ref.: D06 (QH)</t>
  </si>
  <si>
    <t>The Delver's Trove</t>
  </si>
  <si>
    <t>Map Ref.: B14 (IL)</t>
  </si>
  <si>
    <t>The Dreamseller's</t>
  </si>
  <si>
    <t>Map Ref.: M03 (FK)</t>
  </si>
  <si>
    <t>The Ducal Arms Theater</t>
  </si>
  <si>
    <t>Map Ref.: G07 (MM)</t>
  </si>
  <si>
    <t>The Dwarrow Smithy</t>
  </si>
  <si>
    <t>Map Ref.: C15 (IG)</t>
  </si>
  <si>
    <t>The Feather and Frock</t>
  </si>
  <si>
    <t>Map Ref.: S18 (GJ)</t>
  </si>
  <si>
    <t>The Fluttering Veil</t>
  </si>
  <si>
    <t>Map Ref.: O04 (FU)</t>
  </si>
  <si>
    <t>The Foundry</t>
  </si>
  <si>
    <t>Map Ref.: U07 (BD)</t>
  </si>
  <si>
    <t>The Four of Swords</t>
  </si>
  <si>
    <t>Map Ref.: C09 (LK)</t>
  </si>
  <si>
    <t>The Four Ox Team</t>
  </si>
  <si>
    <t>Map Ref.: C07 (PG)</t>
  </si>
  <si>
    <t>The Fox and Goose</t>
  </si>
  <si>
    <t>Map Ref.: M06 (DH)</t>
  </si>
  <si>
    <t>The Giggling Gryphon</t>
  </si>
  <si>
    <t>Map Ref.: V14 (ME)</t>
  </si>
  <si>
    <t>The Gilded Cage</t>
  </si>
  <si>
    <t>Map Ref.: K11 (JP)</t>
  </si>
  <si>
    <t>The Glass Smelter</t>
  </si>
  <si>
    <t>Map Ref.: O09 (EG)</t>
  </si>
  <si>
    <t>The Golden Ducat</t>
  </si>
  <si>
    <t>Map Ref.: G20 (CC)</t>
  </si>
  <si>
    <t>The Golden Goblet</t>
  </si>
  <si>
    <t>Drinkware</t>
  </si>
  <si>
    <t>Map Ref.: R14 (GR)</t>
  </si>
  <si>
    <t>The Golden Sovereign</t>
  </si>
  <si>
    <t>Map Ref.: J05 (PC)</t>
  </si>
  <si>
    <t>The Green</t>
  </si>
  <si>
    <t>Map Ref.: E13 (SN)</t>
  </si>
  <si>
    <t>The Green Gryphon</t>
  </si>
  <si>
    <t>Map Ref.: O03 (FV)</t>
  </si>
  <si>
    <t>The Grey Halls</t>
  </si>
  <si>
    <t>Map Ref.: G04 (OS)</t>
  </si>
  <si>
    <t>The Grubstake</t>
  </si>
  <si>
    <t>Map Ref.: A12 (IC)</t>
  </si>
  <si>
    <t>The Hall of All Guilds</t>
  </si>
  <si>
    <t>Map Ref.: N16 (GH)</t>
  </si>
  <si>
    <t>The Hanged Man</t>
  </si>
  <si>
    <t>Map Ref.: O16 (GF)</t>
  </si>
  <si>
    <t>The Harp Sellers</t>
  </si>
  <si>
    <t>Map Ref.: G07 (MJ)</t>
  </si>
  <si>
    <t>The Hearth and Hound</t>
  </si>
  <si>
    <t>Map Ref.: M05 (FI)</t>
  </si>
  <si>
    <t>The House of Healing</t>
  </si>
  <si>
    <t>Map Ref.: H09 (NV)</t>
  </si>
  <si>
    <t>The House of Lionel</t>
  </si>
  <si>
    <t>Inn (Caravanserai)</t>
  </si>
  <si>
    <t>Map Ref.: L08 (OI)</t>
  </si>
  <si>
    <t>Map Ref.: P03 (FQ)</t>
  </si>
  <si>
    <t>Map Ref.: L03 (EU)</t>
  </si>
  <si>
    <t>The Inn of the Seven Sisters</t>
  </si>
  <si>
    <t>Map Ref.: T16 (GM)</t>
  </si>
  <si>
    <t>The Invisible Shop</t>
  </si>
  <si>
    <t>Map Ref.: H09 (NM)</t>
  </si>
  <si>
    <t>The Iron Horse</t>
  </si>
  <si>
    <t>Map Ref.: C07 (PP)</t>
  </si>
  <si>
    <t>The Ironmongery</t>
  </si>
  <si>
    <t>Map Ref.: A12 (KJ)</t>
  </si>
  <si>
    <t>The Jumping Jade</t>
  </si>
  <si>
    <t>Map Ref.: D08 (PH)</t>
  </si>
  <si>
    <t>The Kitchen Cabinet</t>
  </si>
  <si>
    <t>Map Ref.: E13 (IU)</t>
  </si>
  <si>
    <t>The Knighte Oute</t>
  </si>
  <si>
    <t>Map Ref.: I06 (OT)</t>
  </si>
  <si>
    <t>The Lamb and Lime</t>
  </si>
  <si>
    <t>Map Ref.: E09 (TO)</t>
  </si>
  <si>
    <t>The Leaf and Jar</t>
  </si>
  <si>
    <t>Map Ref.: F12 (IM)</t>
  </si>
  <si>
    <t>The Library</t>
  </si>
  <si>
    <t>Map Ref.: F10 (JW)</t>
  </si>
  <si>
    <t>The Lonely Lecher</t>
  </si>
  <si>
    <t>Map Ref.: N05 (SD)</t>
  </si>
  <si>
    <t>The Lover's Not</t>
  </si>
  <si>
    <t>Map Ref.: M07 (EB)</t>
  </si>
  <si>
    <t>The Lying Lawyer</t>
  </si>
  <si>
    <t>Map Ref.: P15 (GG)</t>
  </si>
  <si>
    <t>The Maid of Asdor</t>
  </si>
  <si>
    <t>Map Ref.: S16 (SE)</t>
  </si>
  <si>
    <t>The Mallorn</t>
  </si>
  <si>
    <t>Map Ref.: D11 (KW)</t>
  </si>
  <si>
    <t>The Man-at-Arms</t>
  </si>
  <si>
    <t>Map Ref.: U17 (SF)</t>
  </si>
  <si>
    <t>The Market Inn</t>
  </si>
  <si>
    <t>Map Ref.: J05 (PB)</t>
  </si>
  <si>
    <t>The Mask Maker's Shop</t>
  </si>
  <si>
    <t>Map Ref.: B12 (KT)</t>
  </si>
  <si>
    <t>The Master Puppeteer</t>
  </si>
  <si>
    <t>Map Ref.: G07 (MF)</t>
  </si>
  <si>
    <t>The Master's Quill</t>
  </si>
  <si>
    <t>Map Ref.: A11 (KO)</t>
  </si>
  <si>
    <t>The Mathom House</t>
  </si>
  <si>
    <t>Map Ref.: E13 (IV)</t>
  </si>
  <si>
    <t>The Mermaid</t>
  </si>
  <si>
    <t>Map Ref.: T06 (AW)</t>
  </si>
  <si>
    <t>The Mint</t>
  </si>
  <si>
    <t>Map Ref.: Q13 (GE)</t>
  </si>
  <si>
    <t>The Moneymonger</t>
  </si>
  <si>
    <t>Map Ref.: U07 (TK)</t>
  </si>
  <si>
    <t>The Navy Yard of Haven</t>
  </si>
  <si>
    <t>Military</t>
  </si>
  <si>
    <t>Map Ref.: T04 (AE)</t>
  </si>
  <si>
    <t>The Offices of Miller &amp; Co.</t>
  </si>
  <si>
    <t>Cooper</t>
  </si>
  <si>
    <t>Map Ref.: C12 (LE)</t>
  </si>
  <si>
    <t>The Old Clothes Shop</t>
  </si>
  <si>
    <t>Map Ref.: P04 (SZ)</t>
  </si>
  <si>
    <t>The Old Walls</t>
  </si>
  <si>
    <t>Map Ref.: T13 (ST)</t>
  </si>
  <si>
    <t>The Orc Warren</t>
  </si>
  <si>
    <t>Map Ref.: N02 (GA)</t>
  </si>
  <si>
    <t>The Pendragon Inn</t>
  </si>
  <si>
    <t>Map Ref.: E08 (OL)</t>
  </si>
  <si>
    <t>The Pentacle</t>
  </si>
  <si>
    <t>Map Ref.: G09 (NF)</t>
  </si>
  <si>
    <t>The Perfumed Garden</t>
  </si>
  <si>
    <t>Map Ref.: M06 (DX)</t>
  </si>
  <si>
    <t>The Prancing Pony</t>
  </si>
  <si>
    <t>Map Ref.: K04 (RD)</t>
  </si>
  <si>
    <t>The Purple Cow</t>
  </si>
  <si>
    <t>Map Ref.: I17 (SU)</t>
  </si>
  <si>
    <t>The Red Rooster</t>
  </si>
  <si>
    <t>Map Ref.: M06 (DR)</t>
  </si>
  <si>
    <t>The Ruined Barracks of the Strathspey Regiment</t>
  </si>
  <si>
    <t>Map Ref.: F11 (JV)</t>
  </si>
  <si>
    <t>The Ruins of the South Keep</t>
  </si>
  <si>
    <t>Map Ref.: Q09 (RQ)</t>
  </si>
  <si>
    <t>The Sackbut and Psalter</t>
  </si>
  <si>
    <t>Map Ref.: H08 (MN)</t>
  </si>
  <si>
    <t>The Seasick Parrot</t>
  </si>
  <si>
    <t>Map Ref.: U05 (AH)</t>
  </si>
  <si>
    <t>The Secret Cabinet</t>
  </si>
  <si>
    <t>Map Ref.: L11 (JU)</t>
  </si>
  <si>
    <t>The Shady Rest Inn</t>
  </si>
  <si>
    <t>Map Ref.: F06 (OR)</t>
  </si>
  <si>
    <t>The Shaving Mill</t>
  </si>
  <si>
    <t>Barber</t>
  </si>
  <si>
    <t>Map Ref.: M05 (DV)</t>
  </si>
  <si>
    <t>The Shieldwood</t>
  </si>
  <si>
    <t>Map Ref.: I12 (SV)</t>
  </si>
  <si>
    <t>The Silken Chain</t>
  </si>
  <si>
    <t>Map Ref.: M06 (DZ)</t>
  </si>
  <si>
    <t>The Silver Penny</t>
  </si>
  <si>
    <t>Map Ref.: L03 (EZ)</t>
  </si>
  <si>
    <t>The Silver Star</t>
  </si>
  <si>
    <t>Map Ref.: K11 (JD)</t>
  </si>
  <si>
    <t>The Silver Stringed Bouzouki</t>
  </si>
  <si>
    <t>Map Ref.: J04 (OW)</t>
  </si>
  <si>
    <t>The Silver Trumpet</t>
  </si>
  <si>
    <t>Map Ref.: J08 (LX)</t>
  </si>
  <si>
    <t>The Slop Chest</t>
  </si>
  <si>
    <t>Map Ref.: U05 (AP)</t>
  </si>
  <si>
    <t>The Snowblind Mouse</t>
  </si>
  <si>
    <t>Map Ref.: U12 (AA)</t>
  </si>
  <si>
    <t>The Speedwell Inn</t>
  </si>
  <si>
    <t>Map Ref.: P14 (SG)</t>
  </si>
  <si>
    <t>The Stone Hammer</t>
  </si>
  <si>
    <t>Map Ref.: B13 (HO)</t>
  </si>
  <si>
    <t>The Surgery</t>
  </si>
  <si>
    <t>Map Ref.: E10 (TM)</t>
  </si>
  <si>
    <t>Map Ref.: P04 (FS)</t>
  </si>
  <si>
    <t>The Tool Shed</t>
  </si>
  <si>
    <t>Tools</t>
  </si>
  <si>
    <t>Map Ref.: G20 (CL)</t>
  </si>
  <si>
    <t>The Topaz Health Center</t>
  </si>
  <si>
    <t>Map Ref.: S19 (HJ)</t>
  </si>
  <si>
    <t>The Tower of the Kindred Races</t>
  </si>
  <si>
    <t>Map Ref.: D14 (IX)</t>
  </si>
  <si>
    <t>The Trembling Heart</t>
  </si>
  <si>
    <t>Map Ref.: D09 (LL)</t>
  </si>
  <si>
    <t>The Troubled Troubadour</t>
  </si>
  <si>
    <t>Map Ref.: M07 (DJ)</t>
  </si>
  <si>
    <t>The Trumpet's Call</t>
  </si>
  <si>
    <t>Map Ref.: H07 (MR)</t>
  </si>
  <si>
    <t>The Virgin's Flute</t>
  </si>
  <si>
    <t>Map Ref.: M08 (EC)</t>
  </si>
  <si>
    <t>The Wandering Folk Camp</t>
  </si>
  <si>
    <t>Campsite</t>
  </si>
  <si>
    <t>Map Ref.: P09 (RP)</t>
  </si>
  <si>
    <t>The Waterlogged Rat</t>
  </si>
  <si>
    <t>Map Ref.: U08 (BK)</t>
  </si>
  <si>
    <t>The Widow Shelakii - Rooms</t>
  </si>
  <si>
    <t>Map Ref.: F05 (QK)</t>
  </si>
  <si>
    <t>The Wine Shop</t>
  </si>
  <si>
    <t>Map Ref.: K10 (JR)</t>
  </si>
  <si>
    <t>The Wizards' Staff</t>
  </si>
  <si>
    <t>Map Ref.: I10 (JH)</t>
  </si>
  <si>
    <t>Theseus Pennywhistle - Caterer</t>
  </si>
  <si>
    <t>Map Ref.: K11 (JS)</t>
  </si>
  <si>
    <t>Map Ref.: P04 (TI)</t>
  </si>
  <si>
    <t>Thorn - Wheelwright</t>
  </si>
  <si>
    <t>Wheelwright</t>
  </si>
  <si>
    <t>Map Ref.: J09 (OC)</t>
  </si>
  <si>
    <t>Thrivin - Goldsmith</t>
  </si>
  <si>
    <t>Map Ref.: C14 (IB)</t>
  </si>
  <si>
    <t>Tiropodus - Wheelwright</t>
  </si>
  <si>
    <t>Map Ref.: L03 (EX)</t>
  </si>
  <si>
    <t>Tobler's Livery Stable</t>
  </si>
  <si>
    <t>Map Ref.: J04 (OX)</t>
  </si>
  <si>
    <t>Tower Station</t>
  </si>
  <si>
    <t>Map Ref.: D14 (KF)</t>
  </si>
  <si>
    <t>Treehouse</t>
  </si>
  <si>
    <t>Map Ref.: G16 (SQ)</t>
  </si>
  <si>
    <t>Trencher's Pony Stable</t>
  </si>
  <si>
    <t>Map Ref.: F13 (IR)</t>
  </si>
  <si>
    <t>Two For The Road</t>
  </si>
  <si>
    <t>Map Ref.: F08 (QD)</t>
  </si>
  <si>
    <t>U.N. Owen - Jeweler</t>
  </si>
  <si>
    <t>Map Ref.: P16 (GI)</t>
  </si>
  <si>
    <t>Unusual Pets</t>
  </si>
  <si>
    <t>Map Ref.: H09 (NS)</t>
  </si>
  <si>
    <t>Valli - Armorer</t>
  </si>
  <si>
    <t>Map Ref.: B15 (HR)</t>
  </si>
  <si>
    <t>Map Ref.: G20 (DD)</t>
  </si>
  <si>
    <t>Vekkio's Foundry</t>
  </si>
  <si>
    <t>Map Ref.: A11 (KP)</t>
  </si>
  <si>
    <t>Verdintro Brickyard</t>
  </si>
  <si>
    <t>Map Ref.: O08 (EH)</t>
  </si>
  <si>
    <t>Voelkher's Sea Transport</t>
  </si>
  <si>
    <t>Map Ref.: T06 (AV)</t>
  </si>
  <si>
    <t>Wagoneer's Delight</t>
  </si>
  <si>
    <t>Map Ref.: K10 (LW)</t>
  </si>
  <si>
    <t>Warehouse of Marcus Neeman</t>
  </si>
  <si>
    <t>Map Ref.: U07 (BJ)</t>
  </si>
  <si>
    <t>Wayfarers Rest</t>
  </si>
  <si>
    <t>Map Ref.: E13 (IO)</t>
  </si>
  <si>
    <t>Weavers' Plus</t>
  </si>
  <si>
    <t>Map Ref.: I09 (NW)</t>
  </si>
  <si>
    <t>Wellington Thistlebottom - P.I.</t>
  </si>
  <si>
    <t>Map Ref.: C11 (LI)</t>
  </si>
  <si>
    <t>Wenches' Walk</t>
  </si>
  <si>
    <t>Map Ref.: M06 (DQ)</t>
  </si>
  <si>
    <t>Wicker and Withy</t>
  </si>
  <si>
    <t>Basket Maker</t>
  </si>
  <si>
    <t>Map Ref.: R17 (GQ)</t>
  </si>
  <si>
    <t>Widow Bupkes' Rooming House</t>
  </si>
  <si>
    <t>Map Ref.: V05 (AL)</t>
  </si>
  <si>
    <t>Wig and Masque</t>
  </si>
  <si>
    <t>Map Ref.: H07 (MD)</t>
  </si>
  <si>
    <t>Windrider Courier Service</t>
  </si>
  <si>
    <t>Map Ref.: B11 (KS)</t>
  </si>
  <si>
    <t>Wizard's Isle</t>
  </si>
  <si>
    <t>Map Ref.: J14 (TD)</t>
  </si>
  <si>
    <t>Wizard's Watering Hole</t>
  </si>
  <si>
    <t>Map Ref.: H09 (NX)</t>
  </si>
  <si>
    <t>Ye Apothecary Shoppe</t>
  </si>
  <si>
    <t>Map Ref.: G10 (NC)</t>
  </si>
  <si>
    <t>Zafforo the Lender</t>
  </si>
  <si>
    <t>Map Ref.: M03 (FL)</t>
  </si>
  <si>
    <t>Zaubel - Jeweler</t>
  </si>
  <si>
    <t>Map Ref.: B13 (KE)</t>
  </si>
  <si>
    <t>Message Drop</t>
  </si>
  <si>
    <t>Map Ref.: M08 (RA)</t>
  </si>
  <si>
    <t>Geronio's Games</t>
  </si>
  <si>
    <t>City of the Dead</t>
  </si>
  <si>
    <t>Map Ref.: K18 (UD)</t>
  </si>
  <si>
    <t>Geronde Family Mausoleum</t>
  </si>
  <si>
    <t>Haven Ironworks</t>
  </si>
  <si>
    <t>Map Ref.: Q05 (UE)</t>
  </si>
  <si>
    <t>The Midnight Oil</t>
  </si>
  <si>
    <t>Map Ref.: L15 (UF)</t>
  </si>
  <si>
    <t>Map Ref.: P15 (UG)</t>
  </si>
  <si>
    <t>Ironhoof Stables</t>
  </si>
  <si>
    <t>Map Ref.: X11 (PR)</t>
  </si>
  <si>
    <t>The Tower</t>
  </si>
  <si>
    <t>Jillie's House</t>
  </si>
  <si>
    <t>Type</t>
  </si>
  <si>
    <t>Map Ref</t>
  </si>
  <si>
    <t>MD File</t>
  </si>
  <si>
    <t>Fandral's Weapon Shop</t>
  </si>
  <si>
    <t>Anathea the Seeress - Fortune Telling Service</t>
  </si>
  <si>
    <t>Angus MacFarlane - Spices and Medicinals</t>
  </si>
  <si>
    <t>Ballard Lindsey - Produce</t>
  </si>
  <si>
    <t>Barbara Weyr - Rugs and Carpets</t>
  </si>
  <si>
    <t>Biff Tekk - Butcher</t>
  </si>
  <si>
    <t>Blackbourne Family Residence</t>
  </si>
  <si>
    <t>Burbas 'the Finder' - Locating Service</t>
  </si>
  <si>
    <t>Caradallo's Storage</t>
  </si>
  <si>
    <t>Choirmaster's House</t>
  </si>
  <si>
    <t>Daran Tiko - Furniture</t>
  </si>
  <si>
    <t>de Kammeron Family Residence</t>
  </si>
  <si>
    <t>de la Riis Family Residence</t>
  </si>
  <si>
    <t>Emperor Clothiers</t>
  </si>
  <si>
    <t>Falstaff Family Residence</t>
  </si>
  <si>
    <t>Fernando 'Fig' Garo - Barbering Service</t>
  </si>
  <si>
    <t>Golden Wheat Inn</t>
  </si>
  <si>
    <t>Hochritter Family Residence</t>
  </si>
  <si>
    <t>Hofstra Family Residence</t>
  </si>
  <si>
    <t>Home of Artemus Faraday</t>
  </si>
  <si>
    <t>Home of Balin arn Malbar</t>
  </si>
  <si>
    <t>Home of Colchester Tibbits</t>
  </si>
  <si>
    <t>Home of Jarius Gildenhoof</t>
  </si>
  <si>
    <t>Home of Master Nimoyin</t>
  </si>
  <si>
    <t>Home of Nikkolai</t>
  </si>
  <si>
    <t>House and Garden of Thaddeus Chiselwick</t>
  </si>
  <si>
    <t>House of Captain Emmanuel York</t>
  </si>
  <si>
    <t>House of Fagin Childstealer</t>
  </si>
  <si>
    <t>House of Ivan and Sheela</t>
  </si>
  <si>
    <t>House of Jurgan Bland</t>
  </si>
  <si>
    <t>House of Lisa Duncan</t>
  </si>
  <si>
    <t>House of Lucius Cardallo</t>
  </si>
  <si>
    <t>House of Rael Gavotte</t>
  </si>
  <si>
    <t>Keabler's Bakery</t>
  </si>
  <si>
    <t>Ohlfaardt Family Residence</t>
  </si>
  <si>
    <t>Rand Family Residence</t>
  </si>
  <si>
    <t>Residence of Arquephus</t>
  </si>
  <si>
    <t>Residence of Resoom</t>
  </si>
  <si>
    <t>Residence of Rigaletto and Paladin Brandybuck</t>
  </si>
  <si>
    <t>Residence of Rombo Alecastle</t>
  </si>
  <si>
    <t>Rima's</t>
  </si>
  <si>
    <t>Savonna Family Residence</t>
  </si>
  <si>
    <t>The Gray Halls</t>
  </si>
  <si>
    <t>The House of Mordecai - Healer</t>
  </si>
  <si>
    <t>The House of Mr. Rasputin</t>
  </si>
  <si>
    <t>The Thieves' Guild House</t>
  </si>
  <si>
    <t>Thieves' Guild Meeting Hall</t>
  </si>
  <si>
    <t>Treehouse Residence of Osondrea</t>
  </si>
  <si>
    <t>Varrasch Family Residence</t>
  </si>
  <si>
    <t>Vaunea 'Dawncaller' Kolae-Gileana - Poultry Products</t>
  </si>
  <si>
    <t>Vorikooreis - Herbs and Minor Potions</t>
  </si>
  <si>
    <t>Map</t>
  </si>
  <si>
    <t>Haven</t>
  </si>
  <si>
    <t>Marker</t>
  </si>
  <si>
    <t>Group</t>
  </si>
  <si>
    <t>Location</t>
  </si>
  <si>
    <t>The Free City of Haven</t>
  </si>
  <si>
    <t>Village, Flat Black</t>
  </si>
  <si>
    <t>Cities, Towns, Villages</t>
  </si>
  <si>
    <t>Free City of Haven</t>
  </si>
  <si>
    <t>Antheros</t>
  </si>
  <si>
    <t>City Watch</t>
  </si>
  <si>
    <t>Dining</t>
  </si>
  <si>
    <t>Education</t>
  </si>
  <si>
    <t>Entertainment</t>
  </si>
  <si>
    <t>Guilds</t>
  </si>
  <si>
    <t>The guild represents those who make things for their looks or artistic merit rather than for usefulness</t>
  </si>
  <si>
    <t>Giggling Gryphon</t>
  </si>
  <si>
    <t>A public tavern and home base of the Haven Irregulars.</t>
  </si>
  <si>
    <t>Inns &amp; Taverns</t>
  </si>
  <si>
    <t>Two for the Road</t>
  </si>
  <si>
    <t>Major Landmarks</t>
  </si>
  <si>
    <t>Street of Silk Veils</t>
  </si>
  <si>
    <t>The Street of Silk Veils</t>
  </si>
  <si>
    <t>This 'temple' to Lohi, Goddess of Healing, is in fact a working hospital</t>
  </si>
  <si>
    <t>Religious</t>
  </si>
  <si>
    <t>Thieves Market</t>
  </si>
  <si>
    <t>Dorki and his Dancing Girls</t>
  </si>
  <si>
    <t>Just like it says.</t>
  </si>
  <si>
    <t>Museum of Oddities</t>
  </si>
  <si>
    <t>Silver Stringed Bouzouki</t>
  </si>
  <si>
    <t>Landmarks</t>
  </si>
  <si>
    <t>Services</t>
  </si>
  <si>
    <t>Shopping</t>
  </si>
  <si>
    <t>This greengrocer brings fresh produce and fruits to the market each day during their particular growing seasons. He frequently has hard-to-obtain varieties of fruit from faraway countries</t>
  </si>
  <si>
    <t>Beydom &amp; Son General Goods</t>
  </si>
  <si>
    <t>One can usually get meats ranging from mutton to pork to beef from this butcher wagon. Fancy meats like veal or lamb are available only occasionally</t>
  </si>
  <si>
    <t>Tiko carries a respectable collection of second hand furniture. A fair portion of his stock is rejects made by the apprentices at Dortmund's and a couple of other furniture houses</t>
  </si>
  <si>
    <t>Mustard &amp; Fennel</t>
  </si>
  <si>
    <t>Picket Post Merchandise</t>
  </si>
  <si>
    <t>Fresh poultry and their eggs</t>
  </si>
  <si>
    <t/>
  </si>
  <si>
    <t>Map Ref: OP (D06)</t>
  </si>
  <si>
    <t>Map Ref: OO (D06)</t>
  </si>
  <si>
    <t>Map Ref: OQ (D06)</t>
  </si>
  <si>
    <t>Map Ref: RU (U17)</t>
  </si>
  <si>
    <t>Map Ref: RV (W10)</t>
  </si>
  <si>
    <t>Map Ref: OF (L10)</t>
  </si>
  <si>
    <t>Map Ref: TV (H04)</t>
  </si>
  <si>
    <t>Map Ref: PF (C07)</t>
  </si>
  <si>
    <t>Map Ref: KA (A12)</t>
  </si>
  <si>
    <t>Map Ref: PE (H03)</t>
  </si>
  <si>
    <t>Map Ref: EF (L05)</t>
  </si>
  <si>
    <t>Map Ref: TU (R13)</t>
  </si>
  <si>
    <t>Map Ref: RW (K16)</t>
  </si>
  <si>
    <t>Map Ref: RX (P21)</t>
  </si>
  <si>
    <t>Map Ref: RY (G21)</t>
  </si>
  <si>
    <t>Map Ref: EL (P06)</t>
  </si>
  <si>
    <t>Map Ref: KF (D14)</t>
  </si>
  <si>
    <t>Map Ref: GB (P16)</t>
  </si>
  <si>
    <t>Map Ref: JE (G11)</t>
  </si>
  <si>
    <t>Map Ref: CD (F16)</t>
  </si>
  <si>
    <t>Map Ref: TN (L08)</t>
  </si>
  <si>
    <t>Map Ref: GF (O16)</t>
  </si>
  <si>
    <t>Map Ref: TO (E09)</t>
  </si>
  <si>
    <t>Map Ref: LT (F10)</t>
  </si>
  <si>
    <t>Map Ref: LR (F10)</t>
  </si>
  <si>
    <t>Map Ref: JQ (F10)</t>
  </si>
  <si>
    <t>Map Ref: LS (F10)</t>
  </si>
  <si>
    <t>Map Ref: NK (G09)</t>
  </si>
  <si>
    <t>Map Ref: LQ (F10)</t>
  </si>
  <si>
    <t>Map Ref: LP (F11)</t>
  </si>
  <si>
    <t>Map Ref: SI (F10)</t>
  </si>
  <si>
    <t>Map Ref: LU (E09)</t>
  </si>
  <si>
    <t>Map Ref: ED (M07)</t>
  </si>
  <si>
    <t>Map Ref: NA (G07)</t>
  </si>
  <si>
    <t>Map Ref: HH (N16)</t>
  </si>
  <si>
    <t>Map Ref: HG (O16)</t>
  </si>
  <si>
    <t>Map Ref: HI (O16)</t>
  </si>
  <si>
    <t>Map Ref: OS (G04)</t>
  </si>
  <si>
    <t>Map Ref: GE (Q13)</t>
  </si>
  <si>
    <t>Map Ref: AE (T04)</t>
  </si>
  <si>
    <t>Map Ref: HD (M16)</t>
  </si>
  <si>
    <t>Map Ref: LZ (G06)</t>
  </si>
  <si>
    <t>Map Ref: GZ (O17)</t>
  </si>
  <si>
    <t>Map Ref: HC (N16)</t>
  </si>
  <si>
    <t>Map Ref: HA (N16)</t>
  </si>
  <si>
    <t>Map Ref: HF (O16)</t>
  </si>
  <si>
    <t>Map Ref: HB (M16)</t>
  </si>
  <si>
    <t>Map Ref: NJ (G09)</t>
  </si>
  <si>
    <t>Map Ref: GH (N16)</t>
  </si>
  <si>
    <t>Map Ref: SB (P18)</t>
  </si>
  <si>
    <t>Map Ref: SC (R15)</t>
  </si>
  <si>
    <t>Map Ref: MX (G07)</t>
  </si>
  <si>
    <t>Map Ref: EE (L05)</t>
  </si>
  <si>
    <t>Map Ref: LY (G08)</t>
  </si>
  <si>
    <t>Map Ref: DF (G21)</t>
  </si>
  <si>
    <t>Map Ref: SA (T15)</t>
  </si>
  <si>
    <t>Map Ref: CC (G20)</t>
  </si>
  <si>
    <t>Map Ref: GM (T16)</t>
  </si>
  <si>
    <t>Map Ref: PH (D08)</t>
  </si>
  <si>
    <t>Map Ref: SD (N05)</t>
  </si>
  <si>
    <t>Map Ref: GG (P15)</t>
  </si>
  <si>
    <t>Map Ref: SE (S16)</t>
  </si>
  <si>
    <t>Map Ref: SF (U17)</t>
  </si>
  <si>
    <t>Map Ref: PB (J05)</t>
  </si>
  <si>
    <t>Map Ref: ST (T13)</t>
  </si>
  <si>
    <t>Map Ref: OL (E08)</t>
  </si>
  <si>
    <t>Map Ref: RD (K04)</t>
  </si>
  <si>
    <t>Map Ref: MN (H08)</t>
  </si>
  <si>
    <t>Map Ref: OR (F06)</t>
  </si>
  <si>
    <t>Map Ref: LX (J08)</t>
  </si>
  <si>
    <t>Map Ref: SG (P14)</t>
  </si>
  <si>
    <t>Map Ref: HO (B13)</t>
  </si>
  <si>
    <t>Map Ref: LL (D09)</t>
  </si>
  <si>
    <t>Map Ref: JH (I10)</t>
  </si>
  <si>
    <t>Map Ref: QD (F08)</t>
  </si>
  <si>
    <t>Map Ref: LW (K10)</t>
  </si>
  <si>
    <t>Map Ref: IO (E13)</t>
  </si>
  <si>
    <t>Map Ref: SH (H20)</t>
  </si>
  <si>
    <t>Map Ref: PI (D08)</t>
  </si>
  <si>
    <t>Map Ref: MH (I07)</t>
  </si>
  <si>
    <t>Map Ref: SM (Q17)</t>
  </si>
  <si>
    <t>Map Ref: NI (G09)</t>
  </si>
  <si>
    <t>Map Ref: FO (P03)</t>
  </si>
  <si>
    <t>Map Ref: SR (E08)</t>
  </si>
  <si>
    <t>Map Ref: ET (L03)</t>
  </si>
  <si>
    <t>Map Ref: (M6)</t>
  </si>
  <si>
    <t>Map Ref: SY (K18)</t>
  </si>
  <si>
    <t>Map Ref: FP (P03)</t>
  </si>
  <si>
    <t>Map Ref: RE (K13)</t>
  </si>
  <si>
    <t>Map Ref: SN (E13)</t>
  </si>
  <si>
    <t>Map Ref: RQ (Q09)</t>
  </si>
  <si>
    <t>Map Ref: SV (I12)</t>
  </si>
  <si>
    <t>Map Ref: IX (D14)</t>
  </si>
  <si>
    <t>Map Ref: TD (J14)</t>
  </si>
  <si>
    <t>Map Ref: NV (H09)</t>
  </si>
  <si>
    <t>Map Ref: TM (E10)</t>
  </si>
  <si>
    <t>Map Ref: TT (G05)</t>
  </si>
  <si>
    <t>Map Ref: RZ (P13)</t>
  </si>
  <si>
    <t>Map Ref: TX (Q12)</t>
  </si>
  <si>
    <t>Map Ref: HM (R11)</t>
  </si>
  <si>
    <t>Map Ref: RS (P13)</t>
  </si>
  <si>
    <t>Map Ref: BO (Q12)</t>
  </si>
  <si>
    <t>Map Ref: GW (N15)</t>
  </si>
  <si>
    <t>Map Ref: NN (P13)</t>
  </si>
  <si>
    <t>Map Ref: TW (Q12)</t>
  </si>
  <si>
    <t>Map Ref: HK (P12)</t>
  </si>
  <si>
    <t>Map Ref: GV (O14)</t>
  </si>
  <si>
    <t>Map Ref: GU (M15)</t>
  </si>
  <si>
    <t>Map Ref: GX (O14)</t>
  </si>
  <si>
    <t>Map Ref: HL (Q12)</t>
  </si>
  <si>
    <t>Map Ref: TY (Q13)</t>
  </si>
  <si>
    <t>Part of the City Watch Academy</t>
  </si>
  <si>
    <t>Station of the City Watch</t>
  </si>
  <si>
    <t>A City Watch station.</t>
  </si>
  <si>
    <t>A City Watch Station</t>
  </si>
  <si>
    <t>One of the best dining establishments in the city</t>
  </si>
  <si>
    <t>One of the finer placest to eat in the city</t>
  </si>
  <si>
    <t>A tavern popular with the legal crowd</t>
  </si>
  <si>
    <t>Part of the University of Haven</t>
  </si>
  <si>
    <t>Best theatre for live performances.</t>
  </si>
  <si>
    <t>An outdoor theatre</t>
  </si>
  <si>
    <t>The courthouse</t>
  </si>
  <si>
    <t>Sort like a city hall</t>
  </si>
  <si>
    <t>Where the mayor lives and conducts most business</t>
  </si>
  <si>
    <t>A prision</t>
  </si>
  <si>
    <t>Where coins and other valuables are struck</t>
  </si>
  <si>
    <t>Naval docks</t>
  </si>
  <si>
    <t>This guild's scope includes anything to do with freight and transportation.</t>
  </si>
  <si>
    <t>This guild includes anyone who provides entertainment in Haven</t>
  </si>
  <si>
    <t>Represents all those involved in the building construction trades.</t>
  </si>
  <si>
    <t>The Provenders represents all who provide and sell foodstuffs. Basically everything between the farm and the kitchen. </t>
  </si>
  <si>
    <t>Members of this guild are those whose business is making pepole feel welcome.</t>
  </si>
  <si>
    <t>The guild looks after anyone who makes or works with cloth and textiles.</t>
  </si>
  <si>
    <t>For those involved in sailing and shipbuilding</t>
  </si>
  <si>
    <t>Most practitioners of magic in Haven are members of this guild</t>
  </si>
  <si>
    <t>This building serves a couple purposes. First, it provides a meeting place for guilds that don't have their own hall. It is also where the Council of Masters meets.</t>
  </si>
  <si>
    <t>One of the more well known inns/taverns in haven</t>
  </si>
  <si>
    <t>One of the best inns in Haven</t>
  </si>
  <si>
    <t>The main, and only, shopping area in the Heights. Several high-end shops can be found here</t>
  </si>
  <si>
    <t>Home of the centaur trolley system</t>
  </si>
  <si>
    <t>Often used y circuses when in town</t>
  </si>
  <si>
    <t>Home to several jewelers &amp; moneylenders</t>
  </si>
  <si>
    <t>A public park on Magic St.</t>
  </si>
  <si>
    <t>The highest point on the south side of the river.</t>
  </si>
  <si>
    <t>The remains of the city walls from over a century ago can still be found circling the inner parts of the city. For the most part they are crumbling or now form walls for newer buildings.</t>
  </si>
  <si>
    <t>The burned out remains of the headquarters of the Thieves' Guild</t>
  </si>
  <si>
    <t>Haven's center of promiscuity</t>
  </si>
  <si>
    <t>At one time, the home for many artists who served the whims of wealthy patrons in the Heights. Mostly residential now.</t>
  </si>
  <si>
    <t>The statue of a rat, a memorial to who knows what.</t>
  </si>
  <si>
    <t xml:space="preserve">The ceremonial center of Haven. </t>
  </si>
  <si>
    <t>The central of life in The Dell. Ironic since it's mostly brown or grey stone</t>
  </si>
  <si>
    <t>The ruins of the original keep built on what is now Trade Island</t>
  </si>
  <si>
    <t>These woods form the northern boundry of Erinhir, along the south bank of the Dorian.</t>
  </si>
  <si>
    <t>A monument to racial harmony</t>
  </si>
  <si>
    <t>Off the north end of Trade Island, this was once used by smugglers moving good upreiver.</t>
  </si>
  <si>
    <t>One of the more trustworthy places to be healed.</t>
  </si>
  <si>
    <t>Ariel: Goddess of Love and Beauty, Patron of the Arts</t>
  </si>
  <si>
    <t>Azriel: Goddess of Disease and Suffering, Mistress of Pain</t>
  </si>
  <si>
    <t>Ea: Goddess of the Air</t>
  </si>
  <si>
    <t>Etheah: Goddess of Nature</t>
  </si>
  <si>
    <t>Istara: Goddess of Magic</t>
  </si>
  <si>
    <t>Ladros: God of Knowledge, Father of the Gods</t>
  </si>
  <si>
    <t>Maedhros: God of Fire, Patron of Metalworkers</t>
  </si>
  <si>
    <t>Mandos : God of Death</t>
  </si>
  <si>
    <t>Narconal: God of the Earth and Agriculture</t>
  </si>
  <si>
    <t>Nenya: Goddess of the Sea, Mother of Storms, Patron of Sailors</t>
  </si>
  <si>
    <t>Serindë: Goddess of Truth, Mother of the Gods</t>
  </si>
  <si>
    <t>Strathos: God of War, Strength &amp; Courage, Patron of Warriors</t>
  </si>
  <si>
    <t>Thalos: God of the Night, Patron of Thieves, Lord of Mischief</t>
  </si>
  <si>
    <t>0</t>
  </si>
  <si>
    <t>523</t>
  </si>
  <si>
    <t>391</t>
  </si>
  <si>
    <t>1244</t>
  </si>
  <si>
    <t>1820</t>
  </si>
  <si>
    <t>1185</t>
  </si>
  <si>
    <t>1912</t>
  </si>
  <si>
    <t>1336</t>
  </si>
  <si>
    <t>1880</t>
  </si>
  <si>
    <t>6076</t>
  </si>
  <si>
    <t>5372</t>
  </si>
  <si>
    <t>6863</t>
  </si>
  <si>
    <t>3174</t>
  </si>
  <si>
    <t>3493</t>
  </si>
  <si>
    <t>3067</t>
  </si>
  <si>
    <t>2421</t>
  </si>
  <si>
    <t>1398</t>
  </si>
  <si>
    <t>982</t>
  </si>
  <si>
    <t>2138</t>
  </si>
  <si>
    <t>367</t>
  </si>
  <si>
    <t>3762</t>
  </si>
  <si>
    <t>2438</t>
  </si>
  <si>
    <t>1177</t>
  </si>
  <si>
    <t>3476</t>
  </si>
  <si>
    <t>1743</t>
  </si>
  <si>
    <t>5224</t>
  </si>
  <si>
    <t>4077</t>
  </si>
  <si>
    <t>3357</t>
  </si>
  <si>
    <t>4827</t>
  </si>
  <si>
    <t>4634</t>
  </si>
  <si>
    <t>6398</t>
  </si>
  <si>
    <t>2228</t>
  </si>
  <si>
    <t>6303</t>
  </si>
  <si>
    <t>4954</t>
  </si>
  <si>
    <t>1920</t>
  </si>
  <si>
    <t>1299</t>
  </si>
  <si>
    <t>4301</t>
  </si>
  <si>
    <t>4820</t>
  </si>
  <si>
    <t>5016</t>
  </si>
  <si>
    <t>2251</t>
  </si>
  <si>
    <t>3367</t>
  </si>
  <si>
    <t>1988</t>
  </si>
  <si>
    <t>5049</t>
  </si>
  <si>
    <t>3596</t>
  </si>
  <si>
    <t>2517</t>
  </si>
  <si>
    <t>4334</t>
  </si>
  <si>
    <t>4809</t>
  </si>
  <si>
    <t>1527</t>
  </si>
  <si>
    <t>2874</t>
  </si>
  <si>
    <t>1745</t>
  </si>
  <si>
    <t>3109</t>
  </si>
  <si>
    <t>1812</t>
  </si>
  <si>
    <t>3122</t>
  </si>
  <si>
    <t>1993</t>
  </si>
  <si>
    <t>3150</t>
  </si>
  <si>
    <t>1771</t>
  </si>
  <si>
    <t>3177</t>
  </si>
  <si>
    <t>2114</t>
  </si>
  <si>
    <t>2968</t>
  </si>
  <si>
    <t>1877</t>
  </si>
  <si>
    <t>3226</t>
  </si>
  <si>
    <t>1849</t>
  </si>
  <si>
    <t>3300</t>
  </si>
  <si>
    <t>1929</t>
  </si>
  <si>
    <t>3163</t>
  </si>
  <si>
    <t>1710</t>
  </si>
  <si>
    <t>2955</t>
  </si>
  <si>
    <t>3928</t>
  </si>
  <si>
    <t>2376</t>
  </si>
  <si>
    <t>2067</t>
  </si>
  <si>
    <t>2126</t>
  </si>
  <si>
    <t>4302</t>
  </si>
  <si>
    <t>4933</t>
  </si>
  <si>
    <t>4466</t>
  </si>
  <si>
    <t>4898</t>
  </si>
  <si>
    <t>4580</t>
  </si>
  <si>
    <t>4899</t>
  </si>
  <si>
    <t>2155</t>
  </si>
  <si>
    <t>1383</t>
  </si>
  <si>
    <t>5156</t>
  </si>
  <si>
    <t>4107</t>
  </si>
  <si>
    <t>6038</t>
  </si>
  <si>
    <t>1468</t>
  </si>
  <si>
    <t>4021</t>
  </si>
  <si>
    <t>4815</t>
  </si>
  <si>
    <t>2265</t>
  </si>
  <si>
    <t>2040</t>
  </si>
  <si>
    <t>4576</t>
  </si>
  <si>
    <t>5304</t>
  </si>
  <si>
    <t>4271</t>
  </si>
  <si>
    <t>5066</t>
  </si>
  <si>
    <t>4154</t>
  </si>
  <si>
    <t>5080</t>
  </si>
  <si>
    <t>4161</t>
  </si>
  <si>
    <t>4830</t>
  </si>
  <si>
    <t>4579</t>
  </si>
  <si>
    <t>5099</t>
  </si>
  <si>
    <t>3930</t>
  </si>
  <si>
    <t>4885</t>
  </si>
  <si>
    <t>2278</t>
  </si>
  <si>
    <t>2924</t>
  </si>
  <si>
    <t>4100</t>
  </si>
  <si>
    <t>4959</t>
  </si>
  <si>
    <t>6439</t>
  </si>
  <si>
    <t>4019</t>
  </si>
  <si>
    <t>4715</t>
  </si>
  <si>
    <t>5444</t>
  </si>
  <si>
    <t>5235</t>
  </si>
  <si>
    <t>4587</t>
  </si>
  <si>
    <t>2197</t>
  </si>
  <si>
    <t>2350</t>
  </si>
  <si>
    <t>3553</t>
  </si>
  <si>
    <t>1732</t>
  </si>
  <si>
    <t>2254</t>
  </si>
  <si>
    <t>2610</t>
  </si>
  <si>
    <t>2182</t>
  </si>
  <si>
    <t>6399</t>
  </si>
  <si>
    <t>5778</t>
  </si>
  <si>
    <t>4702</t>
  </si>
  <si>
    <t>2169</t>
  </si>
  <si>
    <t>6092</t>
  </si>
  <si>
    <t>5783</t>
  </si>
  <si>
    <t>4967</t>
  </si>
  <si>
    <t>1192</t>
  </si>
  <si>
    <t>2460</t>
  </si>
  <si>
    <t>4147</t>
  </si>
  <si>
    <t>1627</t>
  </si>
  <si>
    <t>4632</t>
  </si>
  <si>
    <t>4703</t>
  </si>
  <si>
    <t>5559</t>
  </si>
  <si>
    <t>4957</t>
  </si>
  <si>
    <t>6073</t>
  </si>
  <si>
    <t>5228</t>
  </si>
  <si>
    <t>3055</t>
  </si>
  <si>
    <t>1690</t>
  </si>
  <si>
    <t>5998</t>
  </si>
  <si>
    <t>4135</t>
  </si>
  <si>
    <t>1483</t>
  </si>
  <si>
    <t>2478</t>
  </si>
  <si>
    <t>3313</t>
  </si>
  <si>
    <t>1485</t>
  </si>
  <si>
    <t>2332</t>
  </si>
  <si>
    <t>2510</t>
  </si>
  <si>
    <t>1806</t>
  </si>
  <si>
    <t>2023</t>
  </si>
  <si>
    <t>3018</t>
  </si>
  <si>
    <t>2522</t>
  </si>
  <si>
    <t>4810</t>
  </si>
  <si>
    <t>4395</t>
  </si>
  <si>
    <t>747</t>
  </si>
  <si>
    <t>4061</t>
  </si>
  <si>
    <t>1216</t>
  </si>
  <si>
    <t>2957</t>
  </si>
  <si>
    <t>2797</t>
  </si>
  <si>
    <t>3171</t>
  </si>
  <si>
    <t>1805</t>
  </si>
  <si>
    <t>2509</t>
  </si>
  <si>
    <t>3421</t>
  </si>
  <si>
    <t>3007</t>
  </si>
  <si>
    <t>1594</t>
  </si>
  <si>
    <t>4175</t>
  </si>
  <si>
    <t>2315</t>
  </si>
  <si>
    <t>6113</t>
  </si>
  <si>
    <t>1251</t>
  </si>
  <si>
    <t>2666</t>
  </si>
  <si>
    <t>2640</t>
  </si>
  <si>
    <t>2297</t>
  </si>
  <si>
    <t>5052</t>
  </si>
  <si>
    <t>5124</t>
  </si>
  <si>
    <t>2259</t>
  </si>
  <si>
    <t>2820</t>
  </si>
  <si>
    <t>4745</t>
  </si>
  <si>
    <t>1024</t>
  </si>
  <si>
    <t>1582</t>
  </si>
  <si>
    <t>2611</t>
  </si>
  <si>
    <t>3680</t>
  </si>
  <si>
    <t>1002</t>
  </si>
  <si>
    <t>3861</t>
  </si>
  <si>
    <t>2061</t>
  </si>
  <si>
    <t>3236</t>
  </si>
  <si>
    <t>5644</t>
  </si>
  <si>
    <t>4857</t>
  </si>
  <si>
    <t>921</t>
  </si>
  <si>
    <t>3309</t>
  </si>
  <si>
    <t>4111</t>
  </si>
  <si>
    <t>1461</t>
  </si>
  <si>
    <t>4014</t>
  </si>
  <si>
    <t>5014</t>
  </si>
  <si>
    <t>2723</t>
  </si>
  <si>
    <t>2643</t>
  </si>
  <si>
    <t>3803</t>
  </si>
  <si>
    <t>4348</t>
  </si>
  <si>
    <t>2994</t>
  </si>
  <si>
    <t>4276</t>
  </si>
  <si>
    <t>5246</t>
  </si>
  <si>
    <t>3719</t>
  </si>
  <si>
    <t>2472</t>
  </si>
  <si>
    <t>2807</t>
  </si>
  <si>
    <t>1701</t>
  </si>
  <si>
    <t>3278</t>
  </si>
  <si>
    <t>5218</t>
  </si>
  <si>
    <t>3717</t>
  </si>
  <si>
    <t>4735</t>
  </si>
  <si>
    <t>3974</t>
  </si>
  <si>
    <t>5091</t>
  </si>
  <si>
    <t>3823</t>
  </si>
  <si>
    <t>5284</t>
  </si>
  <si>
    <t>3556</t>
  </si>
  <si>
    <t>4642</t>
  </si>
  <si>
    <t>4076</t>
  </si>
  <si>
    <t>5111</t>
  </si>
  <si>
    <t>3610</t>
  </si>
  <si>
    <t>4268</t>
  </si>
  <si>
    <t>4534</t>
  </si>
  <si>
    <t>4887</t>
  </si>
  <si>
    <t>4007</t>
  </si>
  <si>
    <t>4978</t>
  </si>
  <si>
    <t>3750</t>
  </si>
  <si>
    <t>3876</t>
  </si>
  <si>
    <t>4362</t>
  </si>
  <si>
    <t>4318</t>
  </si>
  <si>
    <t>3921</t>
  </si>
  <si>
    <t>4566</t>
  </si>
  <si>
    <t>4455</t>
  </si>
  <si>
    <t>4426</t>
  </si>
  <si>
    <t>5010</t>
  </si>
  <si>
    <t>3858</t>
  </si>
  <si>
    <t>3940</t>
  </si>
  <si>
    <t>532</t>
  </si>
  <si>
    <t>916</t>
  </si>
  <si>
    <t>470</t>
  </si>
  <si>
    <t>261</t>
  </si>
  <si>
    <t>1028</t>
  </si>
  <si>
    <t>210</t>
  </si>
  <si>
    <t>366</t>
  </si>
  <si>
    <t>25</t>
  </si>
  <si>
    <t>1030</t>
  </si>
  <si>
    <t>605</t>
  </si>
  <si>
    <t>39</t>
  </si>
  <si>
    <t>1238</t>
  </si>
  <si>
    <t>1029</t>
  </si>
  <si>
    <t>414</t>
  </si>
  <si>
    <t>1019</t>
  </si>
  <si>
    <t>1223</t>
  </si>
  <si>
    <t>511</t>
  </si>
  <si>
    <t>853</t>
  </si>
  <si>
    <t>394</t>
  </si>
  <si>
    <t>1169</t>
  </si>
  <si>
    <t>188</t>
  </si>
  <si>
    <t>862</t>
  </si>
  <si>
    <t>476</t>
  </si>
  <si>
    <t>843</t>
  </si>
  <si>
    <t>585</t>
  </si>
  <si>
    <t>920</t>
  </si>
  <si>
    <t>468</t>
  </si>
  <si>
    <t>584</t>
  </si>
  <si>
    <t>506</t>
  </si>
  <si>
    <t>1040</t>
  </si>
  <si>
    <t>189</t>
  </si>
  <si>
    <t>1008</t>
  </si>
  <si>
    <t>1022</t>
  </si>
  <si>
    <t>1037</t>
  </si>
  <si>
    <t>146</t>
  </si>
  <si>
    <t>514</t>
  </si>
  <si>
    <t>44</t>
  </si>
  <si>
    <t>937</t>
  </si>
  <si>
    <t>381</t>
  </si>
  <si>
    <t>692</t>
  </si>
  <si>
    <t>818</t>
  </si>
  <si>
    <t>726</t>
  </si>
  <si>
    <t>914</t>
  </si>
  <si>
    <t>610</t>
  </si>
  <si>
    <t>1032</t>
  </si>
  <si>
    <t>567</t>
  </si>
  <si>
    <t>246</t>
  </si>
  <si>
    <t>178</t>
  </si>
  <si>
    <t>1077</t>
  </si>
  <si>
    <r>
      <t>Temple of Serind</t>
    </r>
    <r>
      <rPr>
        <sz val="11"/>
        <color theme="1"/>
        <rFont val="Aptos Narrow"/>
        <family val="2"/>
      </rPr>
      <t>ë</t>
    </r>
  </si>
  <si>
    <t>Laudie Daly's Cooked Food</t>
  </si>
  <si>
    <t>Tael I'she-Kel's Money Changing Service</t>
  </si>
  <si>
    <t>Olivia Chronosmith's shop</t>
  </si>
  <si>
    <t>Service</t>
  </si>
  <si>
    <t>Landmark</t>
  </si>
  <si>
    <t>Religion</t>
  </si>
  <si>
    <t>Guild</t>
  </si>
  <si>
    <t>Map Ref.: L19</t>
  </si>
  <si>
    <t>Map Ref.: O16</t>
  </si>
  <si>
    <t>Map Ref.: D13</t>
  </si>
  <si>
    <t>Oakridge</t>
  </si>
  <si>
    <t>--</t>
  </si>
  <si>
    <t>InnsTaverns</t>
  </si>
  <si>
    <t>CityWatch</t>
  </si>
  <si>
    <t>Residential</t>
  </si>
  <si>
    <t>Potions, Herbalist</t>
  </si>
  <si>
    <t>Spices, Medical</t>
  </si>
  <si>
    <t>Dancers</t>
  </si>
  <si>
    <t>near fountain</t>
  </si>
  <si>
    <t>Map Ref.: G04</t>
  </si>
  <si>
    <t>Landmark Type</t>
  </si>
  <si>
    <t>W</t>
  </si>
  <si>
    <t>H</t>
  </si>
  <si>
    <t>Column1</t>
  </si>
  <si>
    <t>X2</t>
  </si>
  <si>
    <t>World Anvil</t>
  </si>
  <si>
    <t>Y2</t>
  </si>
  <si>
    <t>PX/100'</t>
  </si>
  <si>
    <t>X Bound</t>
  </si>
  <si>
    <t>Y Bound</t>
  </si>
  <si>
    <t>Scale Factor</t>
  </si>
  <si>
    <t>JSON</t>
  </si>
  <si>
    <t>Leaflet y,x</t>
  </si>
  <si>
    <t xml:space="preserve"> 2414.286, 2301.02</t>
  </si>
  <si>
    <t xml:space="preserve"> 1878.571, 1276.531</t>
  </si>
  <si>
    <t xml:space="preserve"> 1989.796, 1219.388</t>
  </si>
  <si>
    <t xml:space="preserve"> 1968.367, 1379.592</t>
  </si>
  <si>
    <t xml:space="preserve"> 1889.796, 6364.286</t>
  </si>
  <si>
    <t xml:space="preserve"> 1866.327, 4019.388</t>
  </si>
  <si>
    <t xml:space="preserve"> 6328.571, 2368.367</t>
  </si>
  <si>
    <t xml:space="preserve"> 2179.592, 6620.408</t>
  </si>
  <si>
    <t xml:space="preserve"> 6331.633, 2283.673</t>
  </si>
  <si>
    <t xml:space="preserve"> 4294.898, 766.327</t>
  </si>
  <si>
    <t xml:space="preserve"> 6295.918, 2274.49</t>
  </si>
  <si>
    <t xml:space="preserve"> 1831.633, 4102.041</t>
  </si>
  <si>
    <t xml:space="preserve"> 2730.612, 3078.571</t>
  </si>
  <si>
    <t xml:space="preserve"> 4177.551, 473.469</t>
  </si>
  <si>
    <t xml:space="preserve"> 2494.898, 1371.429</t>
  </si>
  <si>
    <t xml:space="preserve"> 2361.224, 2317.347</t>
  </si>
  <si>
    <t xml:space="preserve"> 3506.122, 3500.</t>
  </si>
  <si>
    <t xml:space="preserve"> 1532.653, 2417.347</t>
  </si>
  <si>
    <t xml:space="preserve"> 3777.551, 1054.082</t>
  </si>
  <si>
    <t xml:space="preserve"> 4788.776, 517.347</t>
  </si>
  <si>
    <t xml:space="preserve"> 2488.776, 4485.714</t>
  </si>
  <si>
    <t xml:space="preserve"> 1640.816, 6242.857</t>
  </si>
  <si>
    <t xml:space="preserve"> 2105.102, 6302.041</t>
  </si>
  <si>
    <t xml:space="preserve"> 5642.857, 2284.694</t>
  </si>
  <si>
    <t xml:space="preserve"> 2191.837, 6294.898</t>
  </si>
  <si>
    <t xml:space="preserve"> 3673.469, 423.469</t>
  </si>
  <si>
    <t xml:space="preserve"> 2306.122, 914.286</t>
  </si>
  <si>
    <t xml:space="preserve"> 2715.306, 3346.939</t>
  </si>
  <si>
    <t xml:space="preserve"> 4077.551, 625.51</t>
  </si>
  <si>
    <t xml:space="preserve"> 6209.184, 2396.939</t>
  </si>
  <si>
    <t xml:space="preserve"> 2643.878, 1398.98</t>
  </si>
  <si>
    <t xml:space="preserve"> 2372.449, 6953.061</t>
  </si>
  <si>
    <t xml:space="preserve"> 1706.122, 3109.184</t>
  </si>
  <si>
    <t xml:space="preserve"> 4204.082, 1565.306</t>
  </si>
  <si>
    <t xml:space="preserve"> 2883.673, 3855.102</t>
  </si>
  <si>
    <t xml:space="preserve"> 6362.245, 485.714</t>
  </si>
  <si>
    <t xml:space="preserve"> 4326.531, 1750.</t>
  </si>
  <si>
    <t xml:space="preserve"> 2305.102, 3936.735</t>
  </si>
  <si>
    <t xml:space="preserve"> 3647.959, 755.102</t>
  </si>
  <si>
    <t xml:space="preserve"> 2736.735, 1288.776</t>
  </si>
  <si>
    <t xml:space="preserve"> 1118.367, 3839.796</t>
  </si>
  <si>
    <t xml:space="preserve"> 1112.245, 3790.816</t>
  </si>
  <si>
    <t xml:space="preserve"> 1990.816, 6445.918</t>
  </si>
  <si>
    <t xml:space="preserve"> 5506.122, 6203.061</t>
  </si>
  <si>
    <t xml:space="preserve"> 2589.796, 2298.98</t>
  </si>
  <si>
    <t xml:space="preserve"> 3454.082, 3437.755</t>
  </si>
  <si>
    <t xml:space="preserve"> 4941.837, 2014.286</t>
  </si>
  <si>
    <t xml:space="preserve"> 3048.98, 807.143</t>
  </si>
  <si>
    <t xml:space="preserve"> 2503.061, 2414.286</t>
  </si>
  <si>
    <t xml:space="preserve"> 2371.429, 2667.347</t>
  </si>
  <si>
    <t xml:space="preserve"> 5778.571, 3482.653</t>
  </si>
  <si>
    <t xml:space="preserve"> 2173.469, 4921.429</t>
  </si>
  <si>
    <t xml:space="preserve"> 3743.878, 995.918</t>
  </si>
  <si>
    <t xml:space="preserve"> 3131.633, 1945.918</t>
  </si>
  <si>
    <t xml:space="preserve"> 3209.184, 1853.061</t>
  </si>
  <si>
    <t xml:space="preserve"> 3246.939, 2031.633</t>
  </si>
  <si>
    <t xml:space="preserve"> 3263.265, 1809.184</t>
  </si>
  <si>
    <t xml:space="preserve"> 3050., 2162.245</t>
  </si>
  <si>
    <t xml:space="preserve"> 2417.347, 2479.592</t>
  </si>
  <si>
    <t xml:space="preserve"> 3493.878, 3482.653</t>
  </si>
  <si>
    <t xml:space="preserve"> 3261.224, 7002.041</t>
  </si>
  <si>
    <t xml:space="preserve"> 3162.245, 3568.367</t>
  </si>
  <si>
    <t xml:space="preserve"> 5047.959, 4395.918</t>
  </si>
  <si>
    <t xml:space="preserve"> 4876.531, 4513.265</t>
  </si>
  <si>
    <t xml:space="preserve"> 2511.224, 6246.939</t>
  </si>
  <si>
    <t xml:space="preserve"> 1110.204, 3980.612</t>
  </si>
  <si>
    <t xml:space="preserve"> 2477.551, 6634.694</t>
  </si>
  <si>
    <t xml:space="preserve"> 3864.286, 4172.449</t>
  </si>
  <si>
    <t xml:space="preserve"> 3461.224, 1289.796</t>
  </si>
  <si>
    <t xml:space="preserve"> 2907.143, 725.51</t>
  </si>
  <si>
    <t xml:space="preserve"> 5907.143, 1882.653</t>
  </si>
  <si>
    <t xml:space="preserve"> 5763.265, 2807.143</t>
  </si>
  <si>
    <t xml:space="preserve"> 2188.776, 1829.592</t>
  </si>
  <si>
    <t xml:space="preserve"> 2417.347, 6441.837</t>
  </si>
  <si>
    <t xml:space="preserve"> 1738.776, 6639.796</t>
  </si>
  <si>
    <t xml:space="preserve"> 2406.122, 3500.</t>
  </si>
  <si>
    <t xml:space="preserve"> 1203.061, 4050.</t>
  </si>
  <si>
    <t xml:space="preserve"> 2357.143, 2363.265</t>
  </si>
  <si>
    <t xml:space="preserve"> 2386.735, 4835.714</t>
  </si>
  <si>
    <t xml:space="preserve"> 3779.592, 6800.</t>
  </si>
  <si>
    <t xml:space="preserve"> 2267.347, 1413.265</t>
  </si>
  <si>
    <t xml:space="preserve"> 1340.816, 3030.612</t>
  </si>
  <si>
    <t xml:space="preserve"> 4743.878, 5744.898</t>
  </si>
  <si>
    <t xml:space="preserve"> 2257.143, 4915.306</t>
  </si>
  <si>
    <t xml:space="preserve"> 2569.388, 4745.918</t>
  </si>
  <si>
    <t xml:space="preserve"> 2273.469, 6922.449</t>
  </si>
  <si>
    <t xml:space="preserve"> 4042.857, 1661.224</t>
  </si>
  <si>
    <t xml:space="preserve"> 4071.429, 559.184</t>
  </si>
  <si>
    <t xml:space="preserve"> 3638.776, 961.224</t>
  </si>
  <si>
    <t xml:space="preserve"> 6285.714, 2367.347</t>
  </si>
  <si>
    <t xml:space="preserve"> 3237.755, 2164.286</t>
  </si>
  <si>
    <t xml:space="preserve"> 3521.429, 1236.735</t>
  </si>
  <si>
    <t xml:space="preserve"> 1117.347, 3705.102</t>
  </si>
  <si>
    <t xml:space="preserve"> 6364.286, 2319.388</t>
  </si>
  <si>
    <t xml:space="preserve"> 2910.204, 2369.388</t>
  </si>
  <si>
    <t xml:space="preserve"> 2784.694, 2461.224</t>
  </si>
  <si>
    <t xml:space="preserve"> 2178.571, 3979.592</t>
  </si>
  <si>
    <t xml:space="preserve"> 2987.755, 2236.735</t>
  </si>
  <si>
    <t xml:space="preserve"> 5976.531, 2015.306</t>
  </si>
  <si>
    <t xml:space="preserve"> 1073.469, 3903.061</t>
  </si>
  <si>
    <t xml:space="preserve"> 2913.265, 2264.286</t>
  </si>
  <si>
    <t xml:space="preserve"> 2332.653, 6993.878</t>
  </si>
  <si>
    <t xml:space="preserve"> 2264.286, 1381.633</t>
  </si>
  <si>
    <t xml:space="preserve"> 3596.939, 3584.694</t>
  </si>
  <si>
    <t xml:space="preserve"> 1278.571, 5344.898</t>
  </si>
  <si>
    <t xml:space="preserve"> 1115.306, 3860.204</t>
  </si>
  <si>
    <t xml:space="preserve"> 2478.571, 2361.224</t>
  </si>
  <si>
    <t xml:space="preserve"> 1656.122, 2978.571</t>
  </si>
  <si>
    <t xml:space="preserve"> 2274.49, 6893.878</t>
  </si>
  <si>
    <t xml:space="preserve"> 2740.816, 4068.367</t>
  </si>
  <si>
    <t xml:space="preserve"> 2446.939, 3996.939</t>
  </si>
  <si>
    <t xml:space="preserve"> 1634.694, 2850.</t>
  </si>
  <si>
    <t xml:space="preserve"> 1032.653, 2091.837</t>
  </si>
  <si>
    <t xml:space="preserve"> 1292.857, 2427.551</t>
  </si>
  <si>
    <t xml:space="preserve"> 3271.429, 2148.98</t>
  </si>
  <si>
    <t xml:space="preserve"> 5160.204, 4941.837</t>
  </si>
  <si>
    <t xml:space="preserve"> 2386.735, 6866.327</t>
  </si>
  <si>
    <t xml:space="preserve"> 5867.347, 3622.449</t>
  </si>
  <si>
    <t xml:space="preserve"> 6479.592, 2857.143</t>
  </si>
  <si>
    <t xml:space="preserve"> 2408.163, 2077.551</t>
  </si>
  <si>
    <t xml:space="preserve"> 3821.429, 5830.612</t>
  </si>
  <si>
    <t xml:space="preserve"> 6123.469, 2455.102</t>
  </si>
  <si>
    <t xml:space="preserve"> 4174.49, 903.061</t>
  </si>
  <si>
    <t xml:space="preserve"> 5250., 5145.918</t>
  </si>
  <si>
    <t xml:space="preserve"> 6328.571, 2258.163</t>
  </si>
  <si>
    <t xml:space="preserve"> 1338.776, 3065.306</t>
  </si>
  <si>
    <t xml:space="preserve"> 4396.939, 429.592</t>
  </si>
  <si>
    <t xml:space="preserve"> 1443.878, 2472.449</t>
  </si>
  <si>
    <t xml:space="preserve"> 1052.041, 4367.347</t>
  </si>
  <si>
    <t xml:space="preserve"> 6383.673, 2303.061</t>
  </si>
  <si>
    <t xml:space="preserve"> 5577.551, 4823.469</t>
  </si>
  <si>
    <t xml:space="preserve"> 4935.714, 4097.959</t>
  </si>
  <si>
    <t xml:space="preserve"> 2089.796, 2289.796</t>
  </si>
  <si>
    <t xml:space="preserve"> 5424.49, 4668.367</t>
  </si>
  <si>
    <t xml:space="preserve"> 5185.714, 4340.816</t>
  </si>
  <si>
    <t xml:space="preserve"> 5187.755, 4238.776</t>
  </si>
  <si>
    <t xml:space="preserve"> 4963.265, 4240.816</t>
  </si>
  <si>
    <t xml:space="preserve"> 5197.959, 4667.347</t>
  </si>
  <si>
    <t xml:space="preserve"> 4988.776, 4000.</t>
  </si>
  <si>
    <t xml:space="preserve"> 3017.347, 2320.408</t>
  </si>
  <si>
    <t xml:space="preserve"> 3351.02, 3694.898</t>
  </si>
  <si>
    <t xml:space="preserve"> 5010.204, 4557.143</t>
  </si>
  <si>
    <t xml:space="preserve"> 3057.143, 2291.837</t>
  </si>
  <si>
    <t xml:space="preserve"> 1584.694, 4402.041</t>
  </si>
  <si>
    <t xml:space="preserve"> 1657.143, 6370.408</t>
  </si>
  <si>
    <t xml:space="preserve"> 3241.837, 3626.531</t>
  </si>
  <si>
    <t xml:space="preserve"> 1638.776, 3209.184</t>
  </si>
  <si>
    <t xml:space="preserve"> 870.408, 4072.449</t>
  </si>
  <si>
    <t xml:space="preserve"> 1907.143, 4082.653</t>
  </si>
  <si>
    <t xml:space="preserve"> 2516.327, 997.959</t>
  </si>
  <si>
    <t xml:space="preserve"> 3832.653, 2330.612</t>
  </si>
  <si>
    <t xml:space="preserve"> 2859.184, 2405.102</t>
  </si>
  <si>
    <t xml:space="preserve"> 6245.918, 1928.571</t>
  </si>
  <si>
    <t xml:space="preserve"> 6210.204, 4024.49</t>
  </si>
  <si>
    <t xml:space="preserve"> 4693.878, 5408.163</t>
  </si>
  <si>
    <t xml:space="preserve"> 1777.551, 1845.918</t>
  </si>
  <si>
    <t xml:space="preserve"> 2782.653, 2228.571</t>
  </si>
  <si>
    <t xml:space="preserve"> 3568.367, 376.531</t>
  </si>
  <si>
    <t xml:space="preserve"> 2775.51, 2278.571</t>
  </si>
  <si>
    <t xml:space="preserve"> 3137.755, 611.224</t>
  </si>
  <si>
    <t xml:space="preserve"> 3353.061, 1560.204</t>
  </si>
  <si>
    <t xml:space="preserve"> 3601.02, 544.898</t>
  </si>
  <si>
    <t xml:space="preserve"> 1862.245, 6331.633</t>
  </si>
  <si>
    <t xml:space="preserve"> 2486.735, 790.816</t>
  </si>
  <si>
    <t xml:space="preserve"> 1912.245, 1547.959</t>
  </si>
  <si>
    <t xml:space="preserve"> 1969.388, 1511.224</t>
  </si>
  <si>
    <t xml:space="preserve"> 2411.224, 2241.837</t>
  </si>
  <si>
    <t xml:space="preserve"> 2204.082, 989.796</t>
  </si>
  <si>
    <t xml:space="preserve"> 1562.245, 2842.857</t>
  </si>
  <si>
    <t xml:space="preserve"> 2780.612, 2306.122</t>
  </si>
  <si>
    <t xml:space="preserve"> 2782.653, 6479.592</t>
  </si>
  <si>
    <t xml:space="preserve"> 692.857, 4268.367</t>
  </si>
  <si>
    <t xml:space="preserve"> 2594.898, 6495.918</t>
  </si>
  <si>
    <t xml:space="preserve"> 3525.51, 1052.041</t>
  </si>
  <si>
    <t xml:space="preserve"> 6446.939, 4117.347</t>
  </si>
  <si>
    <t xml:space="preserve"> 4995.918, 5189.796</t>
  </si>
  <si>
    <t xml:space="preserve"> 1294.898, 4872.449</t>
  </si>
  <si>
    <t xml:space="preserve"> 1560.204, 3688.776</t>
  </si>
  <si>
    <t xml:space="preserve"> 2520.408, 6629.592</t>
  </si>
  <si>
    <t xml:space="preserve"> 3102.041, 3010.204</t>
  </si>
  <si>
    <t xml:space="preserve"> 4926.531, 4377.551</t>
  </si>
  <si>
    <t xml:space="preserve"> 2445.918, 2431.633</t>
  </si>
  <si>
    <t xml:space="preserve"> 4925.51, 5027.551</t>
  </si>
  <si>
    <t xml:space="preserve"> 2806.122, 765.306</t>
  </si>
  <si>
    <t xml:space="preserve"> 2865.306, 912.245</t>
  </si>
  <si>
    <t xml:space="preserve"> 2344.898, 6928.571</t>
  </si>
  <si>
    <t xml:space="preserve"> 2890.816, 2308.163</t>
  </si>
  <si>
    <t xml:space="preserve"> 3428.571, 1065.306</t>
  </si>
  <si>
    <t xml:space="preserve"> 3315.306, 1917.347</t>
  </si>
  <si>
    <t xml:space="preserve"> 2528.571, 2028.571</t>
  </si>
  <si>
    <t xml:space="preserve"> 3885.714, 379.592</t>
  </si>
  <si>
    <t xml:space="preserve"> 3052.041, 4201.02</t>
  </si>
  <si>
    <t xml:space="preserve"> 3443.878, 7283.673</t>
  </si>
  <si>
    <t xml:space="preserve"> 1700., 6233.673</t>
  </si>
  <si>
    <t xml:space="preserve"> 4093.878, 4175.51</t>
  </si>
  <si>
    <t xml:space="preserve"> 1588.776, 6279.592</t>
  </si>
  <si>
    <t xml:space="preserve"> 1224.49, 2482.653</t>
  </si>
  <si>
    <t xml:space="preserve"> 2316.327, 3921.429</t>
  </si>
  <si>
    <t xml:space="preserve"> 4448.98, 759.184</t>
  </si>
  <si>
    <t xml:space="preserve"> 3346.939, 4934.694</t>
  </si>
  <si>
    <t xml:space="preserve"> 3553.061, 1426.531</t>
  </si>
  <si>
    <t xml:space="preserve"> 6177.551, 2338.776</t>
  </si>
  <si>
    <t xml:space="preserve"> 1285.714, 4905.102</t>
  </si>
  <si>
    <t xml:space="preserve"> 2084.694, 1124.49</t>
  </si>
  <si>
    <t xml:space="preserve"> 3474.49, 3469.388</t>
  </si>
  <si>
    <t xml:space="preserve"> 4556.122, 473.469</t>
  </si>
  <si>
    <t xml:space="preserve"> 3987.755, 873.469</t>
  </si>
  <si>
    <t xml:space="preserve"> 4554.082, 719.388</t>
  </si>
  <si>
    <t xml:space="preserve"> 1054.082, 4839.796</t>
  </si>
  <si>
    <t xml:space="preserve"> 1787.755, 3638.776</t>
  </si>
  <si>
    <t xml:space="preserve"> 3292.857, 453.061</t>
  </si>
  <si>
    <t xml:space="preserve"> 4529.592, 752.041</t>
  </si>
  <si>
    <t xml:space="preserve"> 2921.429, 5946.939</t>
  </si>
  <si>
    <t xml:space="preserve"> 1820.408, 5028.571</t>
  </si>
  <si>
    <t xml:space="preserve"> 1231.633, 4914.286</t>
  </si>
  <si>
    <t xml:space="preserve"> 1874.49, 1500.</t>
  </si>
  <si>
    <t xml:space="preserve"> 3811.224, 5353.061</t>
  </si>
  <si>
    <t xml:space="preserve"> 1973.469, 6112.245</t>
  </si>
  <si>
    <t xml:space="preserve"> 3410.204, 3351.02</t>
  </si>
  <si>
    <t xml:space="preserve"> 2925.51, 4069.388</t>
  </si>
  <si>
    <t xml:space="preserve"> 2476.531, 2298.98</t>
  </si>
  <si>
    <t xml:space="preserve"> 3278.571, 3969.388</t>
  </si>
  <si>
    <t xml:space="preserve"> 6281.633, 2298.98</t>
  </si>
  <si>
    <t xml:space="preserve"> 2092.857, 3919.388</t>
  </si>
  <si>
    <t xml:space="preserve"> 1074.49, 3866.327</t>
  </si>
  <si>
    <t xml:space="preserve"> 1111.224, 3900.</t>
  </si>
  <si>
    <t xml:space="preserve"> 6014.286, 2741.837</t>
  </si>
  <si>
    <t xml:space="preserve"> 2806.122, 2363.265</t>
  </si>
  <si>
    <t xml:space="preserve"> 3923.469, 804.082</t>
  </si>
  <si>
    <t xml:space="preserve"> 4503.061, 852.041</t>
  </si>
  <si>
    <t xml:space="preserve"> 3441.837, 417.347</t>
  </si>
  <si>
    <t xml:space="preserve"> 1380.612, 3753.061</t>
  </si>
  <si>
    <t xml:space="preserve"> 2267.347, 6970.408</t>
  </si>
  <si>
    <t xml:space="preserve"> 2294.898, 3966.327</t>
  </si>
  <si>
    <t xml:space="preserve"> 3361.224, 3243.878</t>
  </si>
  <si>
    <t xml:space="preserve"> 1807.143, 3562.245</t>
  </si>
  <si>
    <t xml:space="preserve"> 4392.857, 634.694</t>
  </si>
  <si>
    <t xml:space="preserve"> 5013.265, 4683.673</t>
  </si>
  <si>
    <t xml:space="preserve"> 4416.327, 5098.98</t>
  </si>
  <si>
    <t xml:space="preserve"> 4576.531, 5315.306</t>
  </si>
  <si>
    <t xml:space="preserve"> 2268.367, 7020.408</t>
  </si>
  <si>
    <t xml:space="preserve"> 3766.327, 4627.551</t>
  </si>
  <si>
    <t xml:space="preserve"> 2566.327, 3871.429</t>
  </si>
  <si>
    <t xml:space="preserve"> 4457.143, 429.592</t>
  </si>
  <si>
    <t xml:space="preserve"> 4252.041, 724.49</t>
  </si>
  <si>
    <t xml:space="preserve"> 4177.551, 5331.633</t>
  </si>
  <si>
    <t xml:space="preserve"> 1506.122, 2495.918</t>
  </si>
  <si>
    <t xml:space="preserve"> 1941.837, 6196.939</t>
  </si>
  <si>
    <t xml:space="preserve"> 2284.694, 2375.51</t>
  </si>
  <si>
    <t xml:space="preserve"> 2433.673, 3884.694</t>
  </si>
  <si>
    <t xml:space="preserve"> 3509.184, 4876.531</t>
  </si>
  <si>
    <t xml:space="preserve"> 2441.837, 6997.959</t>
  </si>
  <si>
    <t xml:space="preserve"> 2108.163, 4781.633</t>
  </si>
  <si>
    <t xml:space="preserve"> 2782.653, 913.265</t>
  </si>
  <si>
    <t xml:space="preserve"> 2262.245, 2311.224</t>
  </si>
  <si>
    <t xml:space="preserve"> 2405.102, 2365.306</t>
  </si>
  <si>
    <t xml:space="preserve"> 1679.592, 3132.653</t>
  </si>
  <si>
    <t xml:space="preserve"> 2682.653, 2298.98</t>
  </si>
  <si>
    <t xml:space="preserve"> 3776.531, 1359.184</t>
  </si>
  <si>
    <t xml:space="preserve"> 2286.735, 6065.306</t>
  </si>
  <si>
    <t xml:space="preserve"> 4934.694, 3424.49</t>
  </si>
  <si>
    <t xml:space="preserve"> 6557.143, 4727.551</t>
  </si>
  <si>
    <t xml:space="preserve"> 6066.327, 4921.429</t>
  </si>
  <si>
    <t xml:space="preserve"> 2833.673, 1129.592</t>
  </si>
  <si>
    <t xml:space="preserve"> 2516.327, 2308.163</t>
  </si>
  <si>
    <t xml:space="preserve"> 2240.816, 6220.408</t>
  </si>
  <si>
    <t xml:space="preserve"> 5653.061, 1963.265</t>
  </si>
  <si>
    <t xml:space="preserve"> 2692.857, 1613.265</t>
  </si>
  <si>
    <t xml:space="preserve"> 4029.592, 4360.204</t>
  </si>
  <si>
    <t xml:space="preserve"> 1829.592, 4721.429</t>
  </si>
  <si>
    <t xml:space="preserve"> 3168.367, 2215.306</t>
  </si>
  <si>
    <t xml:space="preserve"> 2179.592, 2102.041</t>
  </si>
  <si>
    <t xml:space="preserve"> 6234.694, 2340.816</t>
  </si>
  <si>
    <t xml:space="preserve"> 4062.245, 1640.816</t>
  </si>
  <si>
    <t xml:space="preserve"> 2192.857, 4814.286</t>
  </si>
  <si>
    <t xml:space="preserve"> 2829.592, 862.245</t>
  </si>
  <si>
    <t xml:space="preserve"> 4074.49, 5496.939</t>
  </si>
  <si>
    <t xml:space="preserve"> 2637.755, 995.918</t>
  </si>
  <si>
    <t xml:space="preserve"> 1696.939, 6289.796</t>
  </si>
  <si>
    <t xml:space="preserve"> 6276.531, 2318.367</t>
  </si>
  <si>
    <t xml:space="preserve"> 4089.796, 5159.184</t>
  </si>
  <si>
    <t xml:space="preserve"> 6317.347, 4237.755</t>
  </si>
  <si>
    <t xml:space="preserve"> 6286.735, 2400.</t>
  </si>
  <si>
    <t xml:space="preserve"> 2028.571, 2700.</t>
  </si>
  <si>
    <t xml:space="preserve"> 1408.163, 4912.245</t>
  </si>
  <si>
    <t xml:space="preserve"> 2938.776, 480.612</t>
  </si>
  <si>
    <t xml:space="preserve"> 2205.102, 3873.469</t>
  </si>
  <si>
    <t xml:space="preserve"> 3325.51, 3148.98</t>
  </si>
  <si>
    <t xml:space="preserve"> 1955.102, 2410.204</t>
  </si>
  <si>
    <t xml:space="preserve"> 2703.061, 832.653</t>
  </si>
  <si>
    <t xml:space="preserve"> 2704.082, 2513.265</t>
  </si>
  <si>
    <t xml:space="preserve"> 2701.02, 1016.327</t>
  </si>
  <si>
    <t xml:space="preserve"> 3465.306, 3455.102</t>
  </si>
  <si>
    <t xml:space="preserve"> 2319.388, 2557.143</t>
  </si>
  <si>
    <t xml:space="preserve"> 1508.163, 3138.776</t>
  </si>
  <si>
    <t xml:space="preserve"> 3885.714, 4527.551</t>
  </si>
  <si>
    <t xml:space="preserve"> 4152.041, 852.041</t>
  </si>
  <si>
    <t xml:space="preserve"> 5892.857, 4183.673</t>
  </si>
  <si>
    <t xml:space="preserve"> 1730.612, 6322.449</t>
  </si>
  <si>
    <t xml:space="preserve"> 2420.408, 5904.082</t>
  </si>
  <si>
    <t xml:space="preserve"> 1250., 4857.143</t>
  </si>
  <si>
    <t xml:space="preserve"> 1241.837, 4922.449</t>
  </si>
  <si>
    <t xml:space="preserve"> 4260.204, 1282.653</t>
  </si>
  <si>
    <t xml:space="preserve"> 4212.245, 1142.857</t>
  </si>
  <si>
    <t xml:space="preserve"> 2292.857, 3919.388</t>
  </si>
  <si>
    <t xml:space="preserve"> 1110.204, 3879.592</t>
  </si>
  <si>
    <t xml:space="preserve"> 1400., 4396.939</t>
  </si>
  <si>
    <t xml:space="preserve"> 6538.776, 2236.735</t>
  </si>
  <si>
    <t xml:space="preserve"> 1042.857, 3754.082</t>
  </si>
  <si>
    <t xml:space="preserve"> 4191.837, 893.878</t>
  </si>
  <si>
    <t xml:space="preserve"> 3390.816, 4856.122</t>
  </si>
  <si>
    <t xml:space="preserve"> 6534.694, 2551.02</t>
  </si>
  <si>
    <t xml:space="preserve"> 2442.857, 2132.653</t>
  </si>
  <si>
    <t xml:space="preserve"> 3390.816, 1892.857</t>
  </si>
  <si>
    <t xml:space="preserve"> 3244.898, 1977.551</t>
  </si>
  <si>
    <t xml:space="preserve"> 6322.449, 2338.776</t>
  </si>
  <si>
    <t xml:space="preserve"> 1071.429, 4664.286</t>
  </si>
  <si>
    <t xml:space="preserve"> 1273.469, 4929.592</t>
  </si>
  <si>
    <t xml:space="preserve"> 6455.102, 2276.531</t>
  </si>
  <si>
    <t xml:space="preserve"> 1766.327, 6206.122</t>
  </si>
  <si>
    <t xml:space="preserve"> 6389.796, 2210.204</t>
  </si>
  <si>
    <t xml:space="preserve"> 2256.122, 2567.347</t>
  </si>
  <si>
    <t xml:space="preserve"> 6405.102, 3981.633</t>
  </si>
  <si>
    <t xml:space="preserve"> 3271.429, 4588.776</t>
  </si>
  <si>
    <t xml:space="preserve"> 3502.041, 1421.429</t>
  </si>
  <si>
    <t xml:space="preserve"> 2054.082, 6337.755</t>
  </si>
  <si>
    <t xml:space="preserve"> 1980.612, 5065.306</t>
  </si>
  <si>
    <t xml:space="preserve"> 1942.857, 1459.184</t>
  </si>
  <si>
    <t xml:space="preserve"> 3213.265, 2961.224</t>
  </si>
  <si>
    <t xml:space="preserve"> 2755.102, 639.796</t>
  </si>
  <si>
    <t xml:space="preserve"> 2420.408, 1281.633</t>
  </si>
  <si>
    <t xml:space="preserve"> 4452.041, 503.061</t>
  </si>
  <si>
    <t xml:space="preserve"> 4814.286, 397.959</t>
  </si>
  <si>
    <t xml:space="preserve"> 2976.531, 2126.531</t>
  </si>
  <si>
    <t xml:space="preserve"> 2481.633, 860.204</t>
  </si>
  <si>
    <t xml:space="preserve"> 2102.041, 4969.388</t>
  </si>
  <si>
    <t xml:space="preserve"> 3044.898, 1745.918</t>
  </si>
  <si>
    <t xml:space="preserve"> 5569.388, 3414.286</t>
  </si>
  <si>
    <t xml:space="preserve"> 3493.878, 371.429</t>
  </si>
  <si>
    <t xml:space="preserve"> 2923.469, 2359.184</t>
  </si>
  <si>
    <t xml:space="preserve"> 3545.918, 3610.204</t>
  </si>
  <si>
    <t xml:space="preserve"> 2344.898, 2405.102</t>
  </si>
  <si>
    <t xml:space="preserve"> 4033.673, 1530.612</t>
  </si>
  <si>
    <t xml:space="preserve"> 3495.918, 3582.653</t>
  </si>
  <si>
    <t xml:space="preserve"> 1810.204, 6377.551</t>
  </si>
  <si>
    <t xml:space="preserve"> 3581.633, 897.959</t>
  </si>
  <si>
    <t xml:space="preserve"> 5957.143, 4726.531</t>
  </si>
  <si>
    <t xml:space="preserve"> 6236.735, 2602.041</t>
  </si>
  <si>
    <t xml:space="preserve"> 1395.918, 2906.122</t>
  </si>
  <si>
    <t xml:space="preserve"> 4506.122, 1000.</t>
  </si>
  <si>
    <t xml:space="preserve"> 2351.02, 6361.224</t>
  </si>
  <si>
    <t xml:space="preserve"> 4739.796, 6594.898</t>
  </si>
  <si>
    <t xml:space="preserve"> 3447.959, 2295.918</t>
  </si>
  <si>
    <t xml:space="preserve"> 2729.592, 1031.633</t>
  </si>
  <si>
    <t xml:space="preserve"> 3547.959, 3541.837</t>
  </si>
  <si>
    <t xml:space="preserve"> 4060.204, 4825.51</t>
  </si>
  <si>
    <t xml:space="preserve"> 3910.204, 5186.735</t>
  </si>
  <si>
    <t xml:space="preserve"> 3638.776, 5388.776</t>
  </si>
  <si>
    <t xml:space="preserve"> 4166.327, 4740.816</t>
  </si>
  <si>
    <t xml:space="preserve"> 3705.102, 5226.531</t>
  </si>
  <si>
    <t xml:space="preserve"> 4662.245, 4354.082</t>
  </si>
  <si>
    <t xml:space="preserve"> 4102.041, 4977.551</t>
  </si>
  <si>
    <t xml:space="preserve"> 3846.939, 5091.837</t>
  </si>
  <si>
    <t xml:space="preserve"> 3973.469, 4934.694</t>
  </si>
  <si>
    <t xml:space="preserve"> 4406.122, 4454.082</t>
  </si>
  <si>
    <t xml:space="preserve"> 4625.51, 3995.918</t>
  </si>
  <si>
    <t xml:space="preserve"> 4540.816, 4547.959</t>
  </si>
  <si>
    <t xml:space="preserve"> 3951.02, 5116.327</t>
  </si>
  <si>
    <t xml:space="preserve"> 4045.918, 5067.347</t>
  </si>
  <si>
    <t xml:space="preserve"> 3454.082, 4444.898</t>
  </si>
  <si>
    <t xml:space="preserve"> 3296.939, 1124.49</t>
  </si>
  <si>
    <t xml:space="preserve"> 1967.347, 1296.939</t>
  </si>
  <si>
    <t xml:space="preserve"> 5179.592, 1986.735</t>
  </si>
  <si>
    <t xml:space="preserve"> 2521.429, 1081.633</t>
  </si>
  <si>
    <t xml:space="preserve"> 2398.98, 1015.306</t>
  </si>
  <si>
    <t xml:space="preserve"> 2377.551, 911.224</t>
  </si>
  <si>
    <t xml:space="preserve"> 3507.143, 544.898</t>
  </si>
  <si>
    <t xml:space="preserve"> 4047.959, 1731.633</t>
  </si>
  <si>
    <t xml:space="preserve"> 1606.122, 3118.367</t>
  </si>
  <si>
    <t xml:space="preserve"> 1112.245, 3937.755</t>
  </si>
  <si>
    <t xml:space="preserve"> 1285.714, 2557.143</t>
  </si>
  <si>
    <t xml:space="preserve"> 3228.571, 2994.898</t>
  </si>
  <si>
    <t xml:space="preserve"> 4985.714, 4458.163</t>
  </si>
  <si>
    <t xml:space="preserve"> 4820.408, 5893.878</t>
  </si>
  <si>
    <t xml:space="preserve"> 2310.204, 3845.918</t>
  </si>
  <si>
    <t xml:space="preserve"> 2595.918, 3688.776</t>
  </si>
  <si>
    <t xml:space="preserve"> 2238.776, 3951.02</t>
  </si>
  <si>
    <t xml:space="preserve"> 1295.918, 4826.531</t>
  </si>
  <si>
    <t xml:space="preserve"> 1770.408, 2824.49</t>
  </si>
  <si>
    <t xml:space="preserve"> 3312.245, 2127.551</t>
  </si>
  <si>
    <t xml:space="preserve"> 2704.082, 4324.49</t>
  </si>
  <si>
    <t xml:space="preserve"> 1313.265, 3764.286</t>
  </si>
  <si>
    <t xml:space="preserve"> 968.367, 4966.327</t>
  </si>
  <si>
    <t xml:space="preserve"> 4198.98, 3360.204</t>
  </si>
  <si>
    <t xml:space="preserve"> 2248.98, 2472.449</t>
  </si>
  <si>
    <t xml:space="preserve"> 4228.571, 1010.204</t>
  </si>
  <si>
    <t xml:space="preserve"> 1814.286, 2086.735</t>
  </si>
  <si>
    <t xml:space="preserve"> 1558.163, 3122.449</t>
  </si>
  <si>
    <t xml:space="preserve"> 1769.388, 6448.98</t>
  </si>
  <si>
    <t xml:space="preserve"> 1890.816, 1421.429</t>
  </si>
  <si>
    <t xml:space="preserve"> 4452.041, 710.204</t>
  </si>
  <si>
    <t xml:space="preserve"> 1027.551, 3864.286</t>
  </si>
  <si>
    <t xml:space="preserve"> 2288.776, 2252.041</t>
  </si>
  <si>
    <t xml:space="preserve"> 4615.306, 966.327</t>
  </si>
  <si>
    <t xml:space="preserve"> 5716.327, 5652.041</t>
  </si>
  <si>
    <t xml:space="preserve"> 1255.102, 4439.796</t>
  </si>
  <si>
    <t xml:space="preserve"> 2167.347, 6194.898</t>
  </si>
  <si>
    <t xml:space="preserve"> 3009.184, 1146.939</t>
  </si>
  <si>
    <t xml:space="preserve"> 2318.367, 1126.531</t>
  </si>
  <si>
    <t xml:space="preserve"> 2084.694, 4006.122</t>
  </si>
  <si>
    <t xml:space="preserve"> 4487.755, 6559.184</t>
  </si>
  <si>
    <t xml:space="preserve"> 3418.367, 3406.122</t>
  </si>
  <si>
    <t xml:space="preserve"> 2884.694, 4478.571</t>
  </si>
  <si>
    <t xml:space="preserve"> 6250., 2216.327</t>
  </si>
  <si>
    <t xml:space="preserve"> 4590.816, 5514.286</t>
  </si>
  <si>
    <t xml:space="preserve"> 1823.469, 3081.633</t>
  </si>
  <si>
    <t xml:space="preserve"> 1433.673, 2165.306</t>
  </si>
  <si>
    <t xml:space="preserve"> 4115.306, 1482.653</t>
  </si>
  <si>
    <t xml:space="preserve"> 1155.102, 4548.98</t>
  </si>
  <si>
    <t xml:space="preserve"> 1397.959, 2331.633</t>
  </si>
  <si>
    <t xml:space="preserve"> 3939.796, 481.633</t>
  </si>
  <si>
    <t xml:space="preserve"> 5082.653, 4174.49</t>
  </si>
  <si>
    <t xml:space="preserve"> 4926.531, 4431.633</t>
  </si>
  <si>
    <t xml:space="preserve"> 2309.184, 2310.204</t>
  </si>
  <si>
    <t xml:space="preserve"> 1569.388, 4097.959</t>
  </si>
  <si>
    <t xml:space="preserve"> 2871.429, 2524.49</t>
  </si>
  <si>
    <t xml:space="preserve"> 2697.959, 3709.184</t>
  </si>
  <si>
    <t xml:space="preserve"> 960.204, 4744.898</t>
  </si>
  <si>
    <t xml:space="preserve"> 1067.347, 3712.245</t>
  </si>
  <si>
    <t xml:space="preserve"> 5098.98, 5897.959</t>
  </si>
  <si>
    <t xml:space="preserve"> 2995.918, 2390.816</t>
  </si>
  <si>
    <t xml:space="preserve"> 2263.265, 1050.</t>
  </si>
  <si>
    <t xml:space="preserve"> 3694.898, 514.286</t>
  </si>
  <si>
    <t xml:space="preserve"> 2534.694, 1201.02</t>
  </si>
  <si>
    <t xml:space="preserve"> 4082.653, 1702.041</t>
  </si>
  <si>
    <t xml:space="preserve"> 1863.265, 2911.224</t>
  </si>
  <si>
    <t xml:space="preserve"> 2946.939, 1559.184</t>
  </si>
  <si>
    <t xml:space="preserve"> 3861.224, 1854.082</t>
  </si>
  <si>
    <t xml:space="preserve"> 3347.959, 1974.49</t>
  </si>
  <si>
    <t xml:space="preserve"> 1676.531, 4217.347</t>
  </si>
  <si>
    <t xml:space="preserve"> 2379.592, 3935.714</t>
  </si>
  <si>
    <t xml:space="preserve"> 4824.49, 4726.531</t>
  </si>
  <si>
    <t xml:space="preserve"> 5086.735, 5642.857</t>
  </si>
  <si>
    <t xml:space="preserve"> 3662.245, 1365.306</t>
  </si>
  <si>
    <t xml:space="preserve"> 5359.184, 6191.837</t>
  </si>
  <si>
    <t xml:space="preserve"> 1739.796, 3118.367</t>
  </si>
  <si>
    <t xml:space="preserve"> 3728.571, 721.429</t>
  </si>
  <si>
    <t xml:space="preserve"> 2263.265, 2198.98</t>
  </si>
  <si>
    <t xml:space="preserve"> 3519.388, 480.612</t>
  </si>
  <si>
    <t xml:space="preserve"> 4076.531, 1656.122</t>
  </si>
  <si>
    <t xml:space="preserve"> 2034.694, 6073.469</t>
  </si>
  <si>
    <t xml:space="preserve"> 4829.592, 3616.327</t>
  </si>
  <si>
    <t xml:space="preserve"> 4238.776, 5251.02</t>
  </si>
  <si>
    <t xml:space="preserve"> 2360.204, 6238.776</t>
  </si>
  <si>
    <t xml:space="preserve"> 1539.796, 6126.531</t>
  </si>
  <si>
    <t xml:space="preserve"> 3722.449, 1065.306</t>
  </si>
  <si>
    <t xml:space="preserve"> 1291.837, 4886.735</t>
  </si>
  <si>
    <t xml:space="preserve"> 4239.796, 6123.469</t>
  </si>
  <si>
    <t xml:space="preserve"> 637.755, 4197.959</t>
  </si>
  <si>
    <t xml:space="preserve"> 2563.265, 1514.286</t>
  </si>
  <si>
    <t xml:space="preserve"> 2953.061, 2263.265</t>
  </si>
  <si>
    <t xml:space="preserve"> 1986.735, 3954.082</t>
  </si>
  <si>
    <t xml:space="preserve"> 1538.776, 3382.653</t>
  </si>
  <si>
    <t xml:space="preserve"> 5333.673, 2886.735</t>
  </si>
  <si>
    <t xml:space="preserve"> 1987.755, 4035.714</t>
  </si>
  <si>
    <t xml:space="preserve"> 3473.469, 1982.653</t>
  </si>
  <si>
    <t xml:space="preserve"> 2807.143, 5089.796</t>
  </si>
  <si>
    <t xml:space="preserve"> 2579.592, 2378.571</t>
  </si>
  <si>
    <t xml:space="preserve"> 1610.204, 6261.224</t>
  </si>
  <si>
    <t xml:space="preserve"> 3583.673, 3559.184</t>
  </si>
  <si>
    <t xml:space="preserve"> 2082.653, 1845.918</t>
  </si>
  <si>
    <t xml:space="preserve"> 1765.306, 4032.653</t>
  </si>
  <si>
    <t xml:space="preserve"> 3926.531, 2711.224</t>
  </si>
  <si>
    <t xml:space="preserve"> 2135.714, 3888.776</t>
  </si>
  <si>
    <t xml:space="preserve"> 1111.224, 3812.245</t>
  </si>
  <si>
    <t xml:space="preserve"> 3401.02, 3321.429</t>
  </si>
  <si>
    <t xml:space="preserve"> 1444.898, 2947.959</t>
  </si>
  <si>
    <t xml:space="preserve"> 2600., 3082.653</t>
  </si>
  <si>
    <t xml:space="preserve"> 1757.143, 6294.898</t>
  </si>
  <si>
    <t xml:space="preserve"> 3905.102, 6342.857</t>
  </si>
  <si>
    <t xml:space="preserve"> 4498.98, 4912.245</t>
  </si>
  <si>
    <t xml:space="preserve"> 4162.245, 759.184</t>
  </si>
  <si>
    <t xml:space="preserve"> 3334.694, 1726.531</t>
  </si>
  <si>
    <t xml:space="preserve"> 1270.408, 4872.449</t>
  </si>
  <si>
    <t xml:space="preserve"> 6368.367, 2342.857</t>
  </si>
  <si>
    <t xml:space="preserve"> 6046.939, 5601.02</t>
  </si>
  <si>
    <t xml:space="preserve"> 4413.265, 1269.388</t>
  </si>
  <si>
    <t xml:space="preserve"> 3043.878, 1243.878</t>
  </si>
  <si>
    <t xml:space="preserve"> 2331.633, 3931.633</t>
  </si>
  <si>
    <t xml:space="preserve"> 2436.735, 2375.51</t>
  </si>
  <si>
    <t xml:space="preserve"> 2490.816, 3886.735</t>
  </si>
  <si>
    <t xml:space="preserve"> 3037.755, 4919.388</t>
  </si>
  <si>
    <t xml:space="preserve"> 2516.327, 6307.143</t>
  </si>
  <si>
    <t xml:space="preserve"> 1730.612, 1883.673</t>
  </si>
  <si>
    <t xml:space="preserve"> 3371.429, 3272.449</t>
  </si>
  <si>
    <t xml:space="preserve"> 3257.143, 2855.102</t>
  </si>
  <si>
    <t xml:space="preserve"> 3391.837, 3294.898</t>
  </si>
  <si>
    <t xml:space="preserve"> 1268.367, 4888.776</t>
  </si>
  <si>
    <t xml:space="preserve"> 2827.551, 3029.592</t>
  </si>
  <si>
    <t xml:space="preserve"> 4384.694, 1053.061</t>
  </si>
  <si>
    <t xml:space="preserve"> 1113.265, 3753.061</t>
  </si>
  <si>
    <t xml:space="preserve"> 1384.694, 3032.653</t>
  </si>
  <si>
    <t xml:space="preserve"> 4417.347, 1348.98</t>
  </si>
  <si>
    <t xml:space="preserve"> 4984.694, 2226.531</t>
  </si>
  <si>
    <t xml:space="preserve"> 4048.98, 1771.429</t>
  </si>
  <si>
    <t xml:space="preserve"> 2569.388, 1841.837</t>
  </si>
  <si>
    <t xml:space="preserve"> 4970.408, 4801.02</t>
  </si>
  <si>
    <t xml:space="preserve"> 2901.02, 2385.714</t>
  </si>
  <si>
    <t xml:space="preserve"> 4625.51, 758.163</t>
  </si>
  <si>
    <t xml:space="preserve"> 6345.918, 2117.347</t>
  </si>
  <si>
    <t xml:space="preserve"> 3628.571, 398.98</t>
  </si>
  <si>
    <t xml:space="preserve"> 2740.816, 4583.673</t>
  </si>
  <si>
    <t xml:space="preserve"> 2009.184, 6105.102</t>
  </si>
  <si>
    <t xml:space="preserve"> 3087.755, 3504.082</t>
  </si>
  <si>
    <t xml:space="preserve"> 2266.327, 6406.122</t>
  </si>
  <si>
    <t xml:space="preserve"> 4279.592, 1626.531</t>
  </si>
  <si>
    <t xml:space="preserve"> 3024.49, 2817.347</t>
  </si>
  <si>
    <t xml:space="preserve"> 3657.143, 978.571</t>
  </si>
  <si>
    <t xml:space="preserve"> 2013.265, 4058.163</t>
  </si>
  <si>
    <t xml:space="preserve"> 5341.837, 5532.653</t>
  </si>
  <si>
    <t xml:space="preserve"> 1808.163, 6501.02</t>
  </si>
  <si>
    <t xml:space="preserve"> 2232.653, 2381.633</t>
  </si>
  <si>
    <t xml:space="preserve"> 3662.245, 714.286</t>
  </si>
  <si>
    <t xml:space="preserve"> 4382.653, 3048.98</t>
  </si>
  <si>
    <t xml:space="preserve"> 2877.551, 2461.224</t>
  </si>
  <si>
    <t xml:space="preserve"> 3132.653, 2151.02</t>
  </si>
  <si>
    <t xml:space="preserve"> 1172.449, 4026.531</t>
  </si>
  <si>
    <t xml:space="preserve"> 4135.714, 718.367</t>
  </si>
  <si>
    <t>New Leaflet</t>
  </si>
  <si>
    <t>Journal Id</t>
  </si>
  <si>
    <t>Page Id</t>
  </si>
  <si>
    <t>skOhKyNh3lSdf9Ch</t>
  </si>
  <si>
    <t>RpROLlbHkANjb4Ld</t>
  </si>
  <si>
    <t>iPnt7WOtvXE2MT01</t>
  </si>
  <si>
    <t>wS3SAKOPWX4G04HF</t>
  </si>
  <si>
    <t>fb2jLzUgWFpsKZNy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</si>
</sst>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0"/>
      <name val="Calibri"/>
      <family val="2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E4D7C3"/>
      </left>
      <right/>
      <top/>
      <bottom/>
      <diagonal/>
    </border>
    <border>
      <left/>
      <right style="medium">
        <color rgb="FFE4D7C3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6" fillId="2" borderId="0" xfId="0" applyFont="1" applyFill="1" applyAlignment="1">
      <alignment horizontal="centerContinuous"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vertical="top" wrapText="1"/>
    </xf>
    <xf numFmtId="0" fontId="0" fillId="0" borderId="0" xfId="0" quotePrefix="1" applyAlignment="1">
      <alignment horizontal="center" vertical="top" wrapText="1"/>
    </xf>
    <xf numFmtId="164" fontId="0" fillId="3" borderId="0" xfId="0" applyNumberFormat="1" applyFill="1" applyAlignment="1">
      <alignment horizontal="center" vertical="top" wrapText="1"/>
    </xf>
    <xf numFmtId="0" fontId="6" fillId="2" borderId="0" xfId="0" applyFont="1" applyFill="1" applyAlignment="1">
      <alignment horizontal="center" vertical="top" wrapText="1"/>
    </xf>
    <xf numFmtId="0" fontId="0" fillId="0" borderId="0" xfId="0" applyFill="1" applyAlignment="1">
      <alignment vertical="top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E4D7C3"/>
        </left>
        <right style="medium">
          <color rgb="FFE4D7C3"/>
        </right>
        <top/>
        <bottom/>
      </border>
    </dxf>
    <dxf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border outline="0">
        <left style="medium">
          <color rgb="FFE4D7C3"/>
        </left>
        <right style="medium">
          <color rgb="FFE4D7C3"/>
        </right>
        <top style="medium">
          <color rgb="FFE4D7C3"/>
        </top>
        <bottom style="medium">
          <color rgb="FFE4D7C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E4D7C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E4D7C3"/>
        </left>
        <right style="medium">
          <color rgb="FFE4D7C3"/>
        </right>
        <top/>
        <bottom/>
      </border>
    </dxf>
    <dxf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border outline="0">
        <left style="medium">
          <color rgb="FFE4D7C3"/>
        </left>
      </border>
    </dxf>
    <dxf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numFmt numFmtId="164" formatCode="0.000"/>
      <alignment horizontal="general" vertical="top" textRotation="0" wrapText="1" indent="0" justifyLastLine="0" shrinkToFit="0" readingOrder="0"/>
    </dxf>
    <dxf>
      <numFmt numFmtId="164" formatCode="0.00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numFmt numFmtId="164" formatCode="0.000"/>
      <alignment horizontal="center" vertical="top" textRotation="0" wrapText="1" indent="0" justifyLastLine="0" shrinkToFit="0" readingOrder="0"/>
    </dxf>
    <dxf>
      <numFmt numFmtId="164" formatCode="0.000"/>
      <alignment horizontal="center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8BF471-9EF4-4AA5-B8ED-75F443678B57}" name="tFoundry" displayName="tFoundry" ref="A1:I539" totalsRowShown="0" headerRowDxfId="0" dataDxfId="24" tableBorderDxfId="23">
  <autoFilter ref="A1:I539" xr:uid="{2A8BF471-9EF4-4AA5-B8ED-75F443678B57}"/>
  <sortState xmlns:xlrd2="http://schemas.microsoft.com/office/spreadsheetml/2017/richdata2" ref="A2:G539">
    <sortCondition ref="A1:A539"/>
  </sortState>
  <tableColumns count="9">
    <tableColumn id="3" xr3:uid="{417A5BAD-9562-4C20-A5AA-F69BDE0ADF66}" name="Name" dataDxfId="22"/>
    <tableColumn id="9" xr3:uid="{38B891C5-2C72-4E6D-A3C0-7876E79FA164}" name="Map" dataDxfId="21"/>
    <tableColumn id="1" xr3:uid="{061A9269-58A8-450D-A52C-3FF1745D8D90}" name="X" dataDxfId="20"/>
    <tableColumn id="2" xr3:uid="{1B01F558-6427-4C9E-BC4E-165B13558FB9}" name="Y" dataDxfId="19"/>
    <tableColumn id="4" xr3:uid="{36AF9FA1-E4C9-4F73-A288-B8DE81D4236A}" name="Pin Type" dataDxfId="18"/>
    <tableColumn id="6" xr3:uid="{CFE71E08-D4EB-4522-9B60-052574C0029A}" name="Type" dataDxfId="17"/>
    <tableColumn id="7" xr3:uid="{E03FF055-B8B4-449D-9175-3A70E2C88344}" name="Map Ref" dataDxfId="16"/>
    <tableColumn id="5" xr3:uid="{7B1DD2B1-DE4D-47C8-8D80-2D2D54BE3E1F}" name="Journal Id" dataDxfId="2"/>
    <tableColumn id="8" xr3:uid="{A5BB9AAC-03AB-45A8-9B87-967A8BEA7F70}" name="Page Id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C26B85-5413-49D6-99AB-B989F375D236}" name="tWA" displayName="tWA" ref="A1:I141" totalsRowShown="0" headerRowDxfId="15" dataDxfId="13" headerRowBorderDxfId="14" tableBorderDxfId="12">
  <autoFilter ref="A1:I141" xr:uid="{E7C26B85-5413-49D6-99AB-B989F375D236}"/>
  <sortState xmlns:xlrd2="http://schemas.microsoft.com/office/spreadsheetml/2017/richdata2" ref="A2:I141">
    <sortCondition ref="A1:A141"/>
  </sortState>
  <tableColumns count="9">
    <tableColumn id="1" xr3:uid="{866BD025-CE20-43A1-8F58-BCB58A70F28F}" name="Marker" dataDxfId="11"/>
    <tableColumn id="7" xr3:uid="{B7E5D308-22F6-4108-8754-C0FAE80C2743}" name="Map" dataDxfId="10"/>
    <tableColumn id="9" xr3:uid="{41C2DDAC-40AE-4B32-8A9B-E2EC9EB09ECC}" name="Description" dataDxfId="9"/>
    <tableColumn id="8" xr3:uid="{1F87021A-CC07-4CCD-ABF5-03C985050FCB}" name="Map Ref" dataDxfId="8"/>
    <tableColumn id="2" xr3:uid="{2E2D8884-47A2-415E-BEE2-16FE7C57C18F}" name="X" dataDxfId="7"/>
    <tableColumn id="10" xr3:uid="{585E85C0-EDB0-4F32-91BD-7604E2093486}" name="Y" dataDxfId="6"/>
    <tableColumn id="4" xr3:uid="{9F0CEB45-53DD-4241-994D-7D5820C87A12}" name="Type" dataDxfId="5"/>
    <tableColumn id="5" xr3:uid="{AB685FC9-3093-466D-BCD3-AFB31B40D603}" name="Group" dataDxfId="4"/>
    <tableColumn id="6" xr3:uid="{055862C1-F7B2-462D-96B6-9C6C47981749}" name="Location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11C9D4-90E3-47C5-B0A9-FA8606FF5A06}" name="Table4" displayName="Table4" ref="A2:N556" totalsRowShown="0" headerRowDxfId="49" dataDxfId="48">
  <autoFilter ref="A2:N556" xr:uid="{4611C9D4-90E3-47C5-B0A9-FA8606FF5A06}">
    <filterColumn colId="1">
      <filters>
        <filter val="Haven"/>
      </filters>
    </filterColumn>
  </autoFilter>
  <sortState xmlns:xlrd2="http://schemas.microsoft.com/office/spreadsheetml/2017/richdata2" ref="A35:M556">
    <sortCondition ref="M2:M556"/>
  </sortState>
  <tableColumns count="14">
    <tableColumn id="1" xr3:uid="{C5353628-F3D4-47CF-8299-B252475C2ACB}" name="MD File" dataDxfId="47"/>
    <tableColumn id="14" xr3:uid="{912405F6-B52A-4E64-B8D5-CCA9DEF104D8}" name="Map" dataDxfId="46"/>
    <tableColumn id="7" xr3:uid="{B6293AA8-9178-44ED-B8D4-8D383F355685}" name="X" dataDxfId="45"/>
    <tableColumn id="8" xr3:uid="{9D069731-0E84-4D1F-B8D7-12C04AE1BCFC}" name="Y" dataDxfId="44"/>
    <tableColumn id="4" xr3:uid="{7A307AFE-17E1-4DCA-9E99-4D1728D129EC}" name="X2" dataDxfId="43">
      <calculatedColumnFormula>IFERROR(VLOOKUP($A3,tWA[],5,FALSE),"--")</calculatedColumnFormula>
    </tableColumn>
    <tableColumn id="5" xr3:uid="{77467030-767A-4B43-8DA5-5EDFAD77D960}" name="Y2" dataDxfId="42">
      <calculatedColumnFormula>IFERROR(VLOOKUP($A3,tWA[],6,FALSE),"--")</calculatedColumnFormula>
    </tableColumn>
    <tableColumn id="2" xr3:uid="{9453F50E-A9BC-4C37-AF47-45D0F97A7ED8}" name="Leaflet y,x" dataDxfId="41">
      <calculatedColumnFormula>+Table4[[#This Row],[X]]/7200*100</calculatedColumnFormula>
    </tableColumn>
    <tableColumn id="13" xr3:uid="{1E125695-D863-4260-A052-C62CD80A2C16}" name="Column1" dataDxfId="40">
      <calculatedColumnFormula>VALUE(_xlfn.TEXTAFTER(G3,","))- 1.142</calculatedColumnFormula>
    </tableColumn>
    <tableColumn id="15" xr3:uid="{6701698F-DE33-4C93-AB18-E699C07BF103}" name="New Leaflet" dataDxfId="39">
      <calculatedColumnFormula>_xlfn.TEXTBEFORE(G3,",") &amp; ", " &amp; TEXT(H3, "####.###")</calculatedColumnFormula>
    </tableColumn>
    <tableColumn id="9" xr3:uid="{DCB47047-B57C-4D30-BCAE-BA9FAA3AEC95}" name="Pin Type" dataDxfId="38"/>
    <tableColumn id="10" xr3:uid="{39933C01-3FE4-40FE-8EA1-0E39AD860E5B}" name="Map Ref" dataDxfId="37"/>
    <tableColumn id="11" xr3:uid="{2321B0AE-342C-4A92-B0A0-E3B8607BC452}" name="Landmark Type" dataDxfId="36"/>
    <tableColumn id="6" xr3:uid="{C01119D6-C38B-459A-A431-30906142787F}" name="Description" dataDxfId="35"/>
    <tableColumn id="12" xr3:uid="{596D8B8E-A231-402A-9A70-E10A2E766193}" name="JSON" dataDxfId="34">
      <calculatedColumnFormula>"{""name"": """&amp;A3&amp;""", " &amp;
"""map"": """&amp;B3&amp;""", " &amp;
"""fCoords"": """&amp;C3&amp;", "&amp;D3&amp;""", " &amp;
"""waCoords"": """&amp;E3&amp;", "&amp;F3&amp;""", " &amp;
"""leaflet"": """ &amp; I3 &amp; """, " &amp;
"""pinType"": """ &amp; J3 &amp; """, " &amp;
"""mapRef"": """ &amp; K3 &amp; """, " &amp;
"""type"": """ &amp; L3 &amp; """, " &amp;
"""description"": """ &amp; M3 &amp; """},"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8B1847-FA7E-4B27-8F16-673B2CC39982}" name="Table1" displayName="Table1" ref="P2:V5" totalsRowShown="0" headerRowDxfId="33" dataDxfId="32">
  <autoFilter ref="P2:V5" xr:uid="{F38B1847-FA7E-4B27-8F16-673B2CC39982}"/>
  <tableColumns count="7">
    <tableColumn id="1" xr3:uid="{E28082EC-D7FF-41F3-9AAD-1F5C38DD380D}" name="Map" dataDxfId="31"/>
    <tableColumn id="2" xr3:uid="{A8597040-AC2C-4EE7-8CCB-2E391C4E5B87}" name="W" dataDxfId="30"/>
    <tableColumn id="3" xr3:uid="{CD4E2F50-59BA-4B16-AADF-A3875F096553}" name="H" dataDxfId="29"/>
    <tableColumn id="4" xr3:uid="{C9833C89-4E36-43BC-ABFF-CE8ACCB2C511}" name="PX/100'" dataDxfId="28"/>
    <tableColumn id="7" xr3:uid="{1CD34DE7-3A6F-4530-A0CE-CDE979F939D2}" name="Scale Factor" dataDxfId="27"/>
    <tableColumn id="5" xr3:uid="{AE93C824-0157-4B7B-86DD-B2B3385B5221}" name="X Bound" dataDxfId="26"/>
    <tableColumn id="6" xr3:uid="{7A51D6C4-E572-4563-9B9E-490465E4F146}" name="Y Bound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923A-7C61-449C-BFAE-384D71A4EE21}">
  <sheetPr codeName="Sheet2"/>
  <dimension ref="A1:I539"/>
  <sheetViews>
    <sheetView tabSelected="1"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47" bestFit="1" customWidth="1"/>
    <col min="2" max="2" width="12.5703125" customWidth="1"/>
    <col min="3" max="3" width="9.140625" customWidth="1"/>
    <col min="4" max="4" width="9.42578125" customWidth="1"/>
    <col min="5" max="5" width="24.7109375" bestFit="1" customWidth="1"/>
    <col min="6" max="6" width="19.28515625" bestFit="1" customWidth="1"/>
    <col min="7" max="7" width="20.85546875" customWidth="1"/>
    <col min="8" max="8" width="20.140625" customWidth="1"/>
    <col min="9" max="9" width="24" customWidth="1"/>
  </cols>
  <sheetData>
    <row r="1" spans="1:9" s="28" customFormat="1" ht="15.75" x14ac:dyDescent="0.25">
      <c r="A1" s="24" t="s">
        <v>2</v>
      </c>
      <c r="B1" s="24" t="s">
        <v>1186</v>
      </c>
      <c r="C1" s="24" t="s">
        <v>0</v>
      </c>
      <c r="D1" s="24" t="s">
        <v>1</v>
      </c>
      <c r="E1" s="24" t="s">
        <v>3</v>
      </c>
      <c r="F1" s="25" t="s">
        <v>1132</v>
      </c>
      <c r="G1" s="24" t="s">
        <v>1133</v>
      </c>
      <c r="H1" s="26" t="s">
        <v>2236</v>
      </c>
      <c r="I1" s="27" t="s">
        <v>2237</v>
      </c>
    </row>
    <row r="2" spans="1:9" ht="15.75" x14ac:dyDescent="0.25">
      <c r="A2" s="2" t="s">
        <v>5</v>
      </c>
      <c r="B2" s="2" t="s">
        <v>1187</v>
      </c>
      <c r="C2" s="3">
        <v>2255</v>
      </c>
      <c r="D2" s="3">
        <v>4834</v>
      </c>
      <c r="E2" s="2" t="s">
        <v>1677</v>
      </c>
      <c r="F2" s="4" t="s">
        <v>6</v>
      </c>
      <c r="G2" s="4" t="s">
        <v>7</v>
      </c>
      <c r="H2" s="23"/>
      <c r="I2" s="23"/>
    </row>
    <row r="3" spans="1:9" ht="15.75" x14ac:dyDescent="0.25">
      <c r="A3" s="2" t="s">
        <v>8</v>
      </c>
      <c r="B3" s="2" t="s">
        <v>1187</v>
      </c>
      <c r="C3" s="3">
        <v>1251</v>
      </c>
      <c r="D3" s="3">
        <v>5359</v>
      </c>
      <c r="E3" s="2" t="s">
        <v>9</v>
      </c>
      <c r="F3" s="4" t="s">
        <v>9</v>
      </c>
      <c r="G3" s="4" t="s">
        <v>10</v>
      </c>
      <c r="H3" s="23"/>
      <c r="I3" s="23"/>
    </row>
    <row r="4" spans="1:9" ht="15.75" x14ac:dyDescent="0.25">
      <c r="A4" s="2" t="s">
        <v>11</v>
      </c>
      <c r="B4" s="2" t="s">
        <v>1187</v>
      </c>
      <c r="C4" s="3">
        <v>1195</v>
      </c>
      <c r="D4" s="3">
        <v>5250</v>
      </c>
      <c r="E4" s="2" t="s">
        <v>9</v>
      </c>
      <c r="F4" s="4" t="s">
        <v>9</v>
      </c>
      <c r="G4" s="4" t="s">
        <v>12</v>
      </c>
      <c r="H4" s="23"/>
      <c r="I4" s="23"/>
    </row>
    <row r="5" spans="1:9" ht="15.75" x14ac:dyDescent="0.25">
      <c r="A5" s="2" t="s">
        <v>13</v>
      </c>
      <c r="B5" s="2" t="s">
        <v>1187</v>
      </c>
      <c r="C5" s="3">
        <v>1352</v>
      </c>
      <c r="D5" s="3">
        <v>5271</v>
      </c>
      <c r="E5" s="2" t="s">
        <v>9</v>
      </c>
      <c r="F5" s="4" t="s">
        <v>9</v>
      </c>
      <c r="G5" s="4" t="s">
        <v>14</v>
      </c>
      <c r="H5" s="23"/>
      <c r="I5" s="23"/>
    </row>
    <row r="6" spans="1:9" ht="15.75" x14ac:dyDescent="0.25">
      <c r="A6" s="2" t="s">
        <v>15</v>
      </c>
      <c r="B6" s="2" t="s">
        <v>1187</v>
      </c>
      <c r="C6" s="3">
        <v>6237</v>
      </c>
      <c r="D6" s="3">
        <v>5348</v>
      </c>
      <c r="E6" s="2" t="s">
        <v>1204</v>
      </c>
      <c r="F6" s="4" t="s">
        <v>16</v>
      </c>
      <c r="G6" s="4" t="s">
        <v>17</v>
      </c>
      <c r="H6" s="23"/>
      <c r="I6" s="23"/>
    </row>
    <row r="7" spans="1:9" ht="15.75" x14ac:dyDescent="0.25">
      <c r="A7" s="2" t="s">
        <v>18</v>
      </c>
      <c r="B7" s="2" t="s">
        <v>1187</v>
      </c>
      <c r="C7" s="3">
        <v>3939</v>
      </c>
      <c r="D7" s="3">
        <v>5371</v>
      </c>
      <c r="E7" s="2" t="s">
        <v>1199</v>
      </c>
      <c r="F7" s="4" t="s">
        <v>19</v>
      </c>
      <c r="G7" s="4" t="s">
        <v>20</v>
      </c>
      <c r="H7" s="23"/>
      <c r="I7" s="23"/>
    </row>
    <row r="8" spans="1:9" ht="15.75" x14ac:dyDescent="0.25">
      <c r="A8" s="2" t="s">
        <v>21</v>
      </c>
      <c r="B8" s="2" t="s">
        <v>1187</v>
      </c>
      <c r="C8" s="3">
        <v>2321</v>
      </c>
      <c r="D8" s="3">
        <v>998</v>
      </c>
      <c r="E8" s="2" t="s">
        <v>22</v>
      </c>
      <c r="F8" s="4" t="s">
        <v>22</v>
      </c>
      <c r="G8" s="4" t="s">
        <v>23</v>
      </c>
      <c r="H8" s="23"/>
      <c r="I8" s="23"/>
    </row>
    <row r="9" spans="1:9" ht="15.75" x14ac:dyDescent="0.25">
      <c r="A9" s="2" t="s">
        <v>24</v>
      </c>
      <c r="B9" s="2" t="s">
        <v>1187</v>
      </c>
      <c r="C9" s="3">
        <v>6488</v>
      </c>
      <c r="D9" s="3">
        <v>5064</v>
      </c>
      <c r="E9" s="2" t="s">
        <v>1218</v>
      </c>
      <c r="F9" s="4" t="s">
        <v>25</v>
      </c>
      <c r="G9" s="4" t="s">
        <v>26</v>
      </c>
      <c r="H9" s="23"/>
      <c r="I9" s="23"/>
    </row>
    <row r="10" spans="1:9" ht="15.75" x14ac:dyDescent="0.25">
      <c r="A10" s="2" t="s">
        <v>27</v>
      </c>
      <c r="B10" s="2" t="s">
        <v>1187</v>
      </c>
      <c r="C10" s="3">
        <v>2238</v>
      </c>
      <c r="D10" s="3">
        <v>995</v>
      </c>
      <c r="E10" s="2" t="s">
        <v>1218</v>
      </c>
      <c r="F10" s="4" t="s">
        <v>25</v>
      </c>
      <c r="G10" s="4" t="s">
        <v>28</v>
      </c>
      <c r="H10" s="23"/>
      <c r="I10" s="23"/>
    </row>
    <row r="11" spans="1:9" ht="15.75" x14ac:dyDescent="0.25">
      <c r="A11" s="2" t="s">
        <v>29</v>
      </c>
      <c r="B11" s="2" t="s">
        <v>1187</v>
      </c>
      <c r="C11" s="3">
        <v>751</v>
      </c>
      <c r="D11" s="3">
        <v>2991</v>
      </c>
      <c r="E11" s="2" t="s">
        <v>1218</v>
      </c>
      <c r="F11" s="4" t="s">
        <v>30</v>
      </c>
      <c r="G11" s="4" t="s">
        <v>31</v>
      </c>
      <c r="H11" s="23"/>
      <c r="I11" s="23"/>
    </row>
    <row r="12" spans="1:9" ht="15.75" x14ac:dyDescent="0.25">
      <c r="A12" s="2" t="s">
        <v>32</v>
      </c>
      <c r="B12" s="2" t="s">
        <v>1187</v>
      </c>
      <c r="C12" s="3">
        <v>2229</v>
      </c>
      <c r="D12" s="3">
        <v>1030</v>
      </c>
      <c r="E12" s="2" t="s">
        <v>1677</v>
      </c>
      <c r="F12" s="4" t="s">
        <v>33</v>
      </c>
      <c r="G12" s="4" t="s">
        <v>34</v>
      </c>
      <c r="H12" s="23"/>
      <c r="I12" s="23"/>
    </row>
    <row r="13" spans="1:9" ht="15.75" x14ac:dyDescent="0.25">
      <c r="A13" s="2" t="s">
        <v>35</v>
      </c>
      <c r="B13" s="2" t="s">
        <v>1187</v>
      </c>
      <c r="C13" s="3">
        <v>4020</v>
      </c>
      <c r="D13" s="3">
        <v>5405</v>
      </c>
      <c r="E13" s="2" t="s">
        <v>1218</v>
      </c>
      <c r="F13" s="4" t="s">
        <v>36</v>
      </c>
      <c r="G13" s="4" t="s">
        <v>37</v>
      </c>
      <c r="H13" s="23"/>
      <c r="I13" s="23"/>
    </row>
    <row r="14" spans="1:9" ht="15.75" x14ac:dyDescent="0.25">
      <c r="A14" s="2" t="s">
        <v>38</v>
      </c>
      <c r="B14" s="2" t="s">
        <v>1187</v>
      </c>
      <c r="C14" s="3">
        <v>3017</v>
      </c>
      <c r="D14" s="3">
        <v>4524</v>
      </c>
      <c r="E14" s="2" t="s">
        <v>1218</v>
      </c>
      <c r="F14" s="4" t="s">
        <v>39</v>
      </c>
      <c r="G14" s="4" t="s">
        <v>40</v>
      </c>
      <c r="H14" s="23"/>
      <c r="I14" s="23"/>
    </row>
    <row r="15" spans="1:9" ht="15.75" x14ac:dyDescent="0.25">
      <c r="A15" s="2" t="s">
        <v>41</v>
      </c>
      <c r="B15" s="2" t="s">
        <v>1187</v>
      </c>
      <c r="C15" s="3">
        <v>464</v>
      </c>
      <c r="D15" s="3">
        <v>3106</v>
      </c>
      <c r="E15" s="2" t="s">
        <v>1218</v>
      </c>
      <c r="F15" s="4" t="s">
        <v>42</v>
      </c>
      <c r="G15" s="4" t="s">
        <v>43</v>
      </c>
      <c r="H15" s="23"/>
      <c r="I15" s="23"/>
    </row>
    <row r="16" spans="1:9" ht="15.75" x14ac:dyDescent="0.25">
      <c r="A16" s="2" t="s">
        <v>44</v>
      </c>
      <c r="B16" s="2" t="s">
        <v>1187</v>
      </c>
      <c r="C16" s="3">
        <v>1344</v>
      </c>
      <c r="D16" s="3">
        <v>4755</v>
      </c>
      <c r="E16" s="2" t="s">
        <v>1677</v>
      </c>
      <c r="F16" s="4" t="s">
        <v>45</v>
      </c>
      <c r="G16" s="4" t="s">
        <v>46</v>
      </c>
      <c r="H16" s="23"/>
      <c r="I16" s="23"/>
    </row>
    <row r="17" spans="1:9" ht="15.75" x14ac:dyDescent="0.25">
      <c r="A17" s="2" t="s">
        <v>47</v>
      </c>
      <c r="B17" s="2" t="s">
        <v>1187</v>
      </c>
      <c r="C17" s="3">
        <v>2271</v>
      </c>
      <c r="D17" s="3">
        <v>4886</v>
      </c>
      <c r="E17" s="2" t="s">
        <v>1218</v>
      </c>
      <c r="F17" s="4" t="s">
        <v>48</v>
      </c>
      <c r="G17" s="4" t="s">
        <v>49</v>
      </c>
      <c r="H17" s="23"/>
      <c r="I17" s="23"/>
    </row>
    <row r="18" spans="1:9" ht="15.75" x14ac:dyDescent="0.25">
      <c r="A18" s="2" t="s">
        <v>50</v>
      </c>
      <c r="B18" s="2" t="s">
        <v>1187</v>
      </c>
      <c r="C18" s="3">
        <v>3430</v>
      </c>
      <c r="D18" s="3">
        <v>3764</v>
      </c>
      <c r="E18" s="2" t="s">
        <v>1218</v>
      </c>
      <c r="F18" s="4" t="s">
        <v>51</v>
      </c>
      <c r="G18" s="4" t="s">
        <v>52</v>
      </c>
      <c r="H18" s="23"/>
      <c r="I18" s="23"/>
    </row>
    <row r="19" spans="1:9" ht="15.75" x14ac:dyDescent="0.25">
      <c r="A19" s="2" t="s">
        <v>53</v>
      </c>
      <c r="B19" s="2" t="s">
        <v>1187</v>
      </c>
      <c r="C19" s="3">
        <v>2369</v>
      </c>
      <c r="D19" s="3">
        <v>5698</v>
      </c>
      <c r="E19" s="2" t="s">
        <v>1218</v>
      </c>
      <c r="F19" s="4" t="s">
        <v>54</v>
      </c>
      <c r="G19" s="4" t="s">
        <v>55</v>
      </c>
      <c r="H19" s="23"/>
      <c r="I19" s="23"/>
    </row>
    <row r="20" spans="1:9" ht="15.75" x14ac:dyDescent="0.25">
      <c r="A20" s="2" t="s">
        <v>56</v>
      </c>
      <c r="B20" s="2" t="s">
        <v>1187</v>
      </c>
      <c r="C20" s="3">
        <v>1033</v>
      </c>
      <c r="D20" s="3">
        <v>3498</v>
      </c>
      <c r="E20" s="2" t="s">
        <v>1218</v>
      </c>
      <c r="F20" s="4" t="s">
        <v>57</v>
      </c>
      <c r="G20" s="4" t="s">
        <v>58</v>
      </c>
      <c r="H20" s="23"/>
      <c r="I20" s="23"/>
    </row>
    <row r="21" spans="1:9" ht="15.75" x14ac:dyDescent="0.25">
      <c r="A21" s="2" t="s">
        <v>59</v>
      </c>
      <c r="B21" s="2" t="s">
        <v>1187</v>
      </c>
      <c r="C21" s="3">
        <v>507</v>
      </c>
      <c r="D21" s="3">
        <v>2507</v>
      </c>
      <c r="E21" s="2" t="s">
        <v>1218</v>
      </c>
      <c r="F21" s="4" t="s">
        <v>48</v>
      </c>
      <c r="G21" s="4" t="s">
        <v>60</v>
      </c>
      <c r="H21" s="23"/>
      <c r="I21" s="23"/>
    </row>
    <row r="22" spans="1:9" ht="15.75" x14ac:dyDescent="0.25">
      <c r="A22" s="2" t="s">
        <v>61</v>
      </c>
      <c r="B22" s="2" t="s">
        <v>1187</v>
      </c>
      <c r="C22" s="3">
        <v>4396</v>
      </c>
      <c r="D22" s="3">
        <v>4761</v>
      </c>
      <c r="E22" s="2" t="s">
        <v>1218</v>
      </c>
      <c r="F22" s="4" t="s">
        <v>62</v>
      </c>
      <c r="G22" s="4" t="s">
        <v>63</v>
      </c>
      <c r="H22" s="23"/>
      <c r="I22" s="23"/>
    </row>
    <row r="23" spans="1:9" ht="15.75" x14ac:dyDescent="0.25">
      <c r="A23" s="2" t="s">
        <v>64</v>
      </c>
      <c r="B23" s="2" t="s">
        <v>1187</v>
      </c>
      <c r="C23" s="3">
        <v>6118</v>
      </c>
      <c r="D23" s="3">
        <v>5592</v>
      </c>
      <c r="E23" s="2" t="s">
        <v>1218</v>
      </c>
      <c r="F23" s="4" t="s">
        <v>65</v>
      </c>
      <c r="G23" s="4" t="s">
        <v>66</v>
      </c>
      <c r="H23" s="23"/>
      <c r="I23" s="23"/>
    </row>
    <row r="24" spans="1:9" ht="15.75" x14ac:dyDescent="0.25">
      <c r="A24" s="2" t="s">
        <v>67</v>
      </c>
      <c r="B24" s="2" t="s">
        <v>1187</v>
      </c>
      <c r="C24" s="3">
        <v>6176</v>
      </c>
      <c r="D24" s="3">
        <v>5137</v>
      </c>
      <c r="E24" s="2" t="s">
        <v>1204</v>
      </c>
      <c r="F24" s="4" t="s">
        <v>68</v>
      </c>
      <c r="G24" s="4" t="s">
        <v>69</v>
      </c>
      <c r="H24" s="23"/>
      <c r="I24" s="23"/>
    </row>
    <row r="25" spans="1:9" ht="15.75" x14ac:dyDescent="0.25">
      <c r="A25" s="2" t="s">
        <v>1141</v>
      </c>
      <c r="B25" s="2" t="s">
        <v>1187</v>
      </c>
      <c r="C25" s="3">
        <v>2239</v>
      </c>
      <c r="D25" s="3">
        <v>1670</v>
      </c>
      <c r="E25" s="2" t="s">
        <v>70</v>
      </c>
      <c r="F25" s="4" t="s">
        <v>71</v>
      </c>
      <c r="G25" s="4" t="s">
        <v>72</v>
      </c>
      <c r="H25" s="23"/>
      <c r="I25" s="23"/>
    </row>
    <row r="26" spans="1:9" ht="15.75" x14ac:dyDescent="0.25">
      <c r="A26" s="2" t="s">
        <v>73</v>
      </c>
      <c r="B26" s="2" t="s">
        <v>1187</v>
      </c>
      <c r="C26" s="3">
        <v>6169</v>
      </c>
      <c r="D26" s="3">
        <v>5052</v>
      </c>
      <c r="E26" s="2" t="s">
        <v>1677</v>
      </c>
      <c r="F26" s="4" t="s">
        <v>45</v>
      </c>
      <c r="G26" s="4" t="s">
        <v>74</v>
      </c>
      <c r="H26" s="23"/>
      <c r="I26" s="23"/>
    </row>
    <row r="27" spans="1:9" ht="15.75" x14ac:dyDescent="0.25">
      <c r="A27" s="2" t="s">
        <v>75</v>
      </c>
      <c r="B27" s="2" t="s">
        <v>1187</v>
      </c>
      <c r="C27" s="3">
        <v>415</v>
      </c>
      <c r="D27" s="3">
        <v>3600</v>
      </c>
      <c r="E27" s="2" t="s">
        <v>1204</v>
      </c>
      <c r="F27" s="4" t="s">
        <v>68</v>
      </c>
      <c r="G27" s="4" t="s">
        <v>76</v>
      </c>
      <c r="H27" s="23"/>
      <c r="I27" s="23"/>
    </row>
    <row r="28" spans="1:9" ht="15.75" x14ac:dyDescent="0.25">
      <c r="A28" s="2" t="s">
        <v>77</v>
      </c>
      <c r="B28" s="2" t="s">
        <v>1187</v>
      </c>
      <c r="C28" s="3">
        <v>896</v>
      </c>
      <c r="D28" s="3">
        <v>4940</v>
      </c>
      <c r="E28" s="2" t="s">
        <v>1218</v>
      </c>
      <c r="F28" s="4" t="s">
        <v>78</v>
      </c>
      <c r="G28" s="4" t="s">
        <v>79</v>
      </c>
      <c r="H28" s="23"/>
      <c r="I28" s="23"/>
    </row>
    <row r="29" spans="1:9" ht="15.75" x14ac:dyDescent="0.25">
      <c r="A29" s="2" t="s">
        <v>80</v>
      </c>
      <c r="B29" s="2" t="s">
        <v>1187</v>
      </c>
      <c r="C29" s="3">
        <v>3280</v>
      </c>
      <c r="D29" s="3">
        <v>4539</v>
      </c>
      <c r="E29" s="2" t="s">
        <v>1677</v>
      </c>
      <c r="F29" s="4" t="s">
        <v>81</v>
      </c>
      <c r="G29" s="4" t="s">
        <v>82</v>
      </c>
      <c r="H29" s="23"/>
      <c r="I29" s="23"/>
    </row>
    <row r="30" spans="1:9" ht="15.75" x14ac:dyDescent="0.25">
      <c r="A30" s="2" t="s">
        <v>83</v>
      </c>
      <c r="B30" s="2" t="s">
        <v>1187</v>
      </c>
      <c r="C30" s="3">
        <v>613</v>
      </c>
      <c r="D30" s="3">
        <v>3204</v>
      </c>
      <c r="E30" s="2" t="s">
        <v>1218</v>
      </c>
      <c r="F30" s="4" t="s">
        <v>84</v>
      </c>
      <c r="G30" s="4" t="s">
        <v>85</v>
      </c>
      <c r="H30" s="23"/>
      <c r="I30" s="23"/>
    </row>
    <row r="31" spans="1:9" ht="15.75" x14ac:dyDescent="0.25">
      <c r="A31" s="2" t="s">
        <v>86</v>
      </c>
      <c r="B31" s="2" t="s">
        <v>1187</v>
      </c>
      <c r="C31" s="3">
        <v>2349</v>
      </c>
      <c r="D31" s="3">
        <v>1115</v>
      </c>
      <c r="E31" s="2" t="s">
        <v>1678</v>
      </c>
      <c r="F31" s="4" t="s">
        <v>87</v>
      </c>
      <c r="G31" s="4" t="s">
        <v>88</v>
      </c>
      <c r="H31" s="23"/>
      <c r="I31" s="23"/>
    </row>
    <row r="32" spans="1:9" ht="15.75" x14ac:dyDescent="0.25">
      <c r="A32" s="2" t="s">
        <v>89</v>
      </c>
      <c r="B32" s="2" t="s">
        <v>1187</v>
      </c>
      <c r="C32" s="3">
        <v>1371</v>
      </c>
      <c r="D32" s="3">
        <v>4609</v>
      </c>
      <c r="E32" s="2" t="s">
        <v>1677</v>
      </c>
      <c r="F32" s="4" t="s">
        <v>81</v>
      </c>
      <c r="G32" s="4" t="s">
        <v>90</v>
      </c>
      <c r="H32" s="23"/>
      <c r="I32" s="23"/>
    </row>
    <row r="33" spans="1:9" ht="15.75" x14ac:dyDescent="0.25">
      <c r="A33" s="2" t="s">
        <v>91</v>
      </c>
      <c r="B33" s="2" t="s">
        <v>1187</v>
      </c>
      <c r="C33" s="3">
        <v>6814</v>
      </c>
      <c r="D33" s="3">
        <v>4875</v>
      </c>
      <c r="E33" s="2" t="s">
        <v>1218</v>
      </c>
      <c r="F33" s="4" t="s">
        <v>92</v>
      </c>
      <c r="G33" s="4" t="s">
        <v>93</v>
      </c>
      <c r="H33" s="23"/>
      <c r="I33" s="23"/>
    </row>
    <row r="34" spans="1:9" ht="15.75" x14ac:dyDescent="0.25">
      <c r="A34" s="2" t="s">
        <v>94</v>
      </c>
      <c r="B34" s="2" t="s">
        <v>1187</v>
      </c>
      <c r="C34" s="3">
        <v>3047</v>
      </c>
      <c r="D34" s="3">
        <v>5528</v>
      </c>
      <c r="E34" s="2" t="s">
        <v>1218</v>
      </c>
      <c r="F34" s="4" t="s">
        <v>95</v>
      </c>
      <c r="G34" s="4" t="s">
        <v>96</v>
      </c>
      <c r="H34" s="23"/>
      <c r="I34" s="23"/>
    </row>
    <row r="35" spans="1:9" ht="15.75" x14ac:dyDescent="0.25">
      <c r="A35" s="2" t="s">
        <v>97</v>
      </c>
      <c r="B35" s="2" t="s">
        <v>1187</v>
      </c>
      <c r="C35" s="3">
        <v>1534</v>
      </c>
      <c r="D35" s="3">
        <v>3080</v>
      </c>
      <c r="E35" s="2" t="s">
        <v>1218</v>
      </c>
      <c r="F35" s="4" t="s">
        <v>54</v>
      </c>
      <c r="G35" s="4" t="s">
        <v>98</v>
      </c>
      <c r="H35" s="23"/>
      <c r="I35" s="23"/>
    </row>
    <row r="36" spans="1:9" ht="15.75" x14ac:dyDescent="0.25">
      <c r="A36" s="2" t="s">
        <v>99</v>
      </c>
      <c r="B36" s="2" t="s">
        <v>1187</v>
      </c>
      <c r="C36" s="3">
        <v>3778</v>
      </c>
      <c r="D36" s="3">
        <v>4374</v>
      </c>
      <c r="E36" s="2" t="s">
        <v>1204</v>
      </c>
      <c r="F36" s="4" t="s">
        <v>68</v>
      </c>
      <c r="G36" s="4" t="s">
        <v>100</v>
      </c>
      <c r="H36" s="23"/>
      <c r="I36" s="23"/>
    </row>
    <row r="37" spans="1:9" ht="15.75" x14ac:dyDescent="0.25">
      <c r="A37" s="2" t="s">
        <v>101</v>
      </c>
      <c r="B37" s="2" t="s">
        <v>1187</v>
      </c>
      <c r="C37" s="3">
        <v>1715</v>
      </c>
      <c r="D37" s="3">
        <v>2960</v>
      </c>
      <c r="E37" s="2" t="s">
        <v>1218</v>
      </c>
      <c r="F37" s="4" t="s">
        <v>102</v>
      </c>
      <c r="G37" s="4" t="s">
        <v>103</v>
      </c>
      <c r="H37" s="23"/>
      <c r="I37" s="23"/>
    </row>
    <row r="38" spans="1:9" ht="15.75" x14ac:dyDescent="0.25">
      <c r="A38" s="2" t="s">
        <v>104</v>
      </c>
      <c r="B38" s="2" t="s">
        <v>1187</v>
      </c>
      <c r="C38" s="3">
        <v>3858</v>
      </c>
      <c r="D38" s="3">
        <v>4941</v>
      </c>
      <c r="E38" s="2" t="s">
        <v>1218</v>
      </c>
      <c r="F38" s="4" t="s">
        <v>105</v>
      </c>
      <c r="G38" s="4" t="s">
        <v>106</v>
      </c>
      <c r="H38" s="23"/>
      <c r="I38" s="23"/>
    </row>
    <row r="39" spans="1:9" ht="15.75" x14ac:dyDescent="0.25">
      <c r="A39" s="2" t="s">
        <v>107</v>
      </c>
      <c r="B39" s="2" t="s">
        <v>1187</v>
      </c>
      <c r="C39" s="3">
        <v>740</v>
      </c>
      <c r="D39" s="3">
        <v>3625</v>
      </c>
      <c r="E39" s="2" t="s">
        <v>1677</v>
      </c>
      <c r="F39" s="4" t="s">
        <v>108</v>
      </c>
      <c r="G39" s="4" t="s">
        <v>109</v>
      </c>
      <c r="H39" s="23"/>
      <c r="I39" s="23"/>
    </row>
    <row r="40" spans="1:9" ht="15.75" x14ac:dyDescent="0.25">
      <c r="A40" s="2" t="s">
        <v>110</v>
      </c>
      <c r="B40" s="2" t="s">
        <v>1187</v>
      </c>
      <c r="C40" s="3">
        <v>1263</v>
      </c>
      <c r="D40" s="3">
        <v>4518</v>
      </c>
      <c r="E40" s="2" t="s">
        <v>1677</v>
      </c>
      <c r="F40" s="4" t="s">
        <v>111</v>
      </c>
      <c r="G40" s="4" t="s">
        <v>112</v>
      </c>
      <c r="H40" s="23"/>
      <c r="I40" s="23"/>
    </row>
    <row r="41" spans="1:9" ht="15.75" x14ac:dyDescent="0.25">
      <c r="A41" s="2" t="s">
        <v>110</v>
      </c>
      <c r="B41" s="2" t="s">
        <v>1187</v>
      </c>
      <c r="C41" s="3">
        <v>1161</v>
      </c>
      <c r="D41" s="3">
        <v>4494</v>
      </c>
      <c r="E41" s="2" t="s">
        <v>1677</v>
      </c>
      <c r="F41" s="4" t="s">
        <v>111</v>
      </c>
      <c r="G41" s="4" t="s">
        <v>112</v>
      </c>
      <c r="H41" s="23"/>
      <c r="I41" s="23"/>
    </row>
    <row r="42" spans="1:9" ht="15.75" x14ac:dyDescent="0.25">
      <c r="A42" s="2" t="s">
        <v>110</v>
      </c>
      <c r="B42" s="2" t="s">
        <v>1187</v>
      </c>
      <c r="C42" s="3">
        <v>1309</v>
      </c>
      <c r="D42" s="3">
        <v>4631</v>
      </c>
      <c r="E42" s="2" t="s">
        <v>1677</v>
      </c>
      <c r="F42" s="4" t="s">
        <v>111</v>
      </c>
      <c r="G42" s="4" t="s">
        <v>112</v>
      </c>
      <c r="H42" s="23"/>
      <c r="I42" s="23"/>
    </row>
    <row r="43" spans="1:9" ht="15.75" x14ac:dyDescent="0.25">
      <c r="A43" s="2" t="s">
        <v>110</v>
      </c>
      <c r="B43" s="2" t="s">
        <v>1187</v>
      </c>
      <c r="C43" s="3">
        <v>1255</v>
      </c>
      <c r="D43" s="3">
        <v>4670</v>
      </c>
      <c r="E43" s="2" t="s">
        <v>1677</v>
      </c>
      <c r="F43" s="4" t="s">
        <v>111</v>
      </c>
      <c r="G43" s="4" t="s">
        <v>112</v>
      </c>
      <c r="H43" s="23"/>
      <c r="I43" s="23"/>
    </row>
    <row r="44" spans="1:9" ht="15.75" x14ac:dyDescent="0.25">
      <c r="A44" s="2" t="s">
        <v>113</v>
      </c>
      <c r="B44" s="2" t="s">
        <v>1187</v>
      </c>
      <c r="C44" s="3">
        <v>3763</v>
      </c>
      <c r="D44" s="3">
        <v>6104</v>
      </c>
      <c r="E44" s="2" t="s">
        <v>1218</v>
      </c>
      <c r="F44" s="4" t="s">
        <v>114</v>
      </c>
      <c r="G44" s="4" t="s">
        <v>115</v>
      </c>
      <c r="H44" s="23"/>
      <c r="I44" s="23"/>
    </row>
    <row r="45" spans="1:9" ht="15.75" x14ac:dyDescent="0.25">
      <c r="A45" s="2" t="s">
        <v>116</v>
      </c>
      <c r="B45" s="2" t="s">
        <v>1187</v>
      </c>
      <c r="C45" s="3">
        <v>3715</v>
      </c>
      <c r="D45" s="3">
        <v>6110</v>
      </c>
      <c r="E45" s="2" t="s">
        <v>70</v>
      </c>
      <c r="F45" s="4" t="s">
        <v>117</v>
      </c>
      <c r="G45" s="4" t="s">
        <v>118</v>
      </c>
      <c r="H45" s="23"/>
      <c r="I45" s="23"/>
    </row>
    <row r="46" spans="1:9" ht="15.75" x14ac:dyDescent="0.25">
      <c r="A46" s="10" t="s">
        <v>1143</v>
      </c>
      <c r="B46" s="2" t="s">
        <v>1187</v>
      </c>
      <c r="C46" s="3">
        <v>6317</v>
      </c>
      <c r="D46" s="3">
        <v>5249</v>
      </c>
      <c r="E46" s="2" t="s">
        <v>1677</v>
      </c>
      <c r="F46" s="4" t="s">
        <v>45</v>
      </c>
      <c r="G46" s="4" t="s">
        <v>119</v>
      </c>
      <c r="H46" s="23"/>
      <c r="I46" s="23"/>
    </row>
    <row r="47" spans="1:9" ht="15.75" x14ac:dyDescent="0.25">
      <c r="A47" s="2" t="s">
        <v>120</v>
      </c>
      <c r="B47" s="2" t="s">
        <v>1187</v>
      </c>
      <c r="C47" s="3">
        <v>6079</v>
      </c>
      <c r="D47" s="3">
        <v>1804</v>
      </c>
      <c r="E47" s="2" t="s">
        <v>9</v>
      </c>
      <c r="F47" s="4" t="s">
        <v>9</v>
      </c>
      <c r="G47" s="4" t="s">
        <v>121</v>
      </c>
      <c r="H47" s="23"/>
      <c r="I47" s="23"/>
    </row>
    <row r="48" spans="1:9" ht="15.75" x14ac:dyDescent="0.25">
      <c r="A48" s="2" t="s">
        <v>122</v>
      </c>
      <c r="B48" s="2" t="s">
        <v>1187</v>
      </c>
      <c r="C48" s="3">
        <v>2253</v>
      </c>
      <c r="D48" s="3">
        <v>4662</v>
      </c>
      <c r="E48" s="2" t="s">
        <v>1678</v>
      </c>
      <c r="F48" s="4" t="s">
        <v>123</v>
      </c>
      <c r="G48" s="4" t="s">
        <v>124</v>
      </c>
      <c r="H48" s="23"/>
      <c r="I48" s="23"/>
    </row>
    <row r="49" spans="1:9" ht="15.75" x14ac:dyDescent="0.25">
      <c r="A49" s="2" t="s">
        <v>125</v>
      </c>
      <c r="B49" s="2" t="s">
        <v>1187</v>
      </c>
      <c r="C49" s="3">
        <v>3369</v>
      </c>
      <c r="D49" s="3">
        <v>3815</v>
      </c>
      <c r="E49" s="2" t="s">
        <v>1218</v>
      </c>
      <c r="F49" s="4" t="s">
        <v>126</v>
      </c>
      <c r="G49" s="4" t="s">
        <v>127</v>
      </c>
      <c r="H49" s="23"/>
      <c r="I49" s="23"/>
    </row>
    <row r="50" spans="1:9" ht="15.75" x14ac:dyDescent="0.25">
      <c r="A50" s="2" t="s">
        <v>128</v>
      </c>
      <c r="B50" s="2" t="s">
        <v>1187</v>
      </c>
      <c r="C50" s="3">
        <v>1974</v>
      </c>
      <c r="D50" s="3">
        <v>2357</v>
      </c>
      <c r="E50" s="2" t="s">
        <v>1218</v>
      </c>
      <c r="F50" s="4" t="s">
        <v>48</v>
      </c>
      <c r="G50" s="4" t="s">
        <v>129</v>
      </c>
      <c r="H50" s="23"/>
      <c r="I50" s="23"/>
    </row>
    <row r="51" spans="1:9" ht="15.75" x14ac:dyDescent="0.25">
      <c r="A51" s="2" t="s">
        <v>130</v>
      </c>
      <c r="B51" s="2" t="s">
        <v>1187</v>
      </c>
      <c r="C51" s="3">
        <v>791</v>
      </c>
      <c r="D51" s="3">
        <v>4212</v>
      </c>
      <c r="E51" s="2" t="s">
        <v>1677</v>
      </c>
      <c r="F51" s="4" t="s">
        <v>81</v>
      </c>
      <c r="G51" s="4" t="s">
        <v>131</v>
      </c>
      <c r="H51" s="23"/>
      <c r="I51" s="23"/>
    </row>
    <row r="52" spans="1:9" ht="15.75" x14ac:dyDescent="0.25">
      <c r="A52" s="2" t="s">
        <v>1144</v>
      </c>
      <c r="B52" s="2" t="s">
        <v>1187</v>
      </c>
      <c r="C52" s="3">
        <v>2366</v>
      </c>
      <c r="D52" s="3">
        <v>4747</v>
      </c>
      <c r="E52" s="2" t="s">
        <v>70</v>
      </c>
      <c r="F52" s="4" t="s">
        <v>132</v>
      </c>
      <c r="G52" s="4" t="s">
        <v>133</v>
      </c>
      <c r="H52" s="23"/>
      <c r="I52" s="23"/>
    </row>
    <row r="53" spans="1:9" ht="15.75" x14ac:dyDescent="0.25">
      <c r="A53" s="2" t="s">
        <v>134</v>
      </c>
      <c r="B53" s="2" t="s">
        <v>1187</v>
      </c>
      <c r="C53" s="3">
        <v>2614</v>
      </c>
      <c r="D53" s="3">
        <v>4876</v>
      </c>
      <c r="E53" s="2" t="s">
        <v>1678</v>
      </c>
      <c r="F53" s="4" t="s">
        <v>135</v>
      </c>
      <c r="G53" s="4" t="s">
        <v>136</v>
      </c>
      <c r="H53" s="23"/>
      <c r="I53" s="23"/>
    </row>
    <row r="54" spans="1:9" ht="15.75" x14ac:dyDescent="0.25">
      <c r="A54" s="2" t="s">
        <v>1120</v>
      </c>
      <c r="B54" s="2" t="s">
        <v>1187</v>
      </c>
      <c r="C54" s="3">
        <v>3413</v>
      </c>
      <c r="D54" s="3">
        <v>1537</v>
      </c>
      <c r="E54" s="2" t="s">
        <v>1678</v>
      </c>
      <c r="F54" s="4" t="s">
        <v>135</v>
      </c>
      <c r="G54" s="4" t="s">
        <v>1121</v>
      </c>
      <c r="H54" s="23"/>
      <c r="I54" s="23"/>
    </row>
    <row r="55" spans="1:9" ht="15.75" x14ac:dyDescent="0.25">
      <c r="A55" s="2" t="s">
        <v>137</v>
      </c>
      <c r="B55" s="2" t="s">
        <v>1187</v>
      </c>
      <c r="C55" s="3">
        <v>4823</v>
      </c>
      <c r="D55" s="3">
        <v>5070</v>
      </c>
      <c r="E55" s="2" t="s">
        <v>1204</v>
      </c>
      <c r="F55" s="4" t="s">
        <v>68</v>
      </c>
      <c r="G55" s="4" t="s">
        <v>138</v>
      </c>
      <c r="H55" s="23"/>
      <c r="I55" s="23"/>
    </row>
    <row r="56" spans="1:9" ht="15.75" x14ac:dyDescent="0.25">
      <c r="A56" s="2" t="s">
        <v>139</v>
      </c>
      <c r="B56" s="2" t="s">
        <v>1187</v>
      </c>
      <c r="C56" s="3">
        <v>976</v>
      </c>
      <c r="D56" s="3">
        <v>3531</v>
      </c>
      <c r="E56" s="2" t="s">
        <v>1218</v>
      </c>
      <c r="F56" s="4" t="s">
        <v>140</v>
      </c>
      <c r="G56" s="4" t="s">
        <v>141</v>
      </c>
      <c r="H56" s="23"/>
      <c r="I56" s="23"/>
    </row>
    <row r="57" spans="1:9" ht="15.75" x14ac:dyDescent="0.25">
      <c r="A57" s="2" t="s">
        <v>142</v>
      </c>
      <c r="B57" s="2" t="s">
        <v>1187</v>
      </c>
      <c r="C57" s="3">
        <v>1907</v>
      </c>
      <c r="D57" s="3">
        <v>4131</v>
      </c>
      <c r="E57" s="2" t="s">
        <v>1198</v>
      </c>
      <c r="F57" s="4" t="s">
        <v>143</v>
      </c>
      <c r="G57" s="4" t="s">
        <v>144</v>
      </c>
      <c r="H57" s="23"/>
      <c r="I57" s="23"/>
    </row>
    <row r="58" spans="1:9" ht="15.75" x14ac:dyDescent="0.25">
      <c r="A58" s="2" t="s">
        <v>145</v>
      </c>
      <c r="B58" s="2" t="s">
        <v>1187</v>
      </c>
      <c r="C58" s="3">
        <v>1816</v>
      </c>
      <c r="D58" s="3">
        <v>4055</v>
      </c>
      <c r="E58" s="2" t="s">
        <v>1198</v>
      </c>
      <c r="F58" s="4" t="s">
        <v>143</v>
      </c>
      <c r="G58" s="4" t="s">
        <v>146</v>
      </c>
      <c r="H58" s="23"/>
      <c r="I58" s="23"/>
    </row>
    <row r="59" spans="1:9" ht="15.75" x14ac:dyDescent="0.25">
      <c r="A59" s="2" t="s">
        <v>147</v>
      </c>
      <c r="B59" s="2" t="s">
        <v>1187</v>
      </c>
      <c r="C59" s="3">
        <v>1991</v>
      </c>
      <c r="D59" s="3">
        <v>4018</v>
      </c>
      <c r="E59" s="2" t="s">
        <v>1198</v>
      </c>
      <c r="F59" s="4" t="s">
        <v>143</v>
      </c>
      <c r="G59" s="4" t="s">
        <v>148</v>
      </c>
      <c r="H59" s="23"/>
      <c r="I59" s="23"/>
    </row>
    <row r="60" spans="1:9" ht="15.75" x14ac:dyDescent="0.25">
      <c r="A60" s="2" t="s">
        <v>149</v>
      </c>
      <c r="B60" s="2" t="s">
        <v>1187</v>
      </c>
      <c r="C60" s="3">
        <v>1773</v>
      </c>
      <c r="D60" s="3">
        <v>4002</v>
      </c>
      <c r="E60" s="2" t="s">
        <v>1198</v>
      </c>
      <c r="F60" s="4" t="s">
        <v>143</v>
      </c>
      <c r="G60" s="4" t="s">
        <v>150</v>
      </c>
      <c r="H60" s="23"/>
      <c r="I60" s="23"/>
    </row>
    <row r="61" spans="1:9" ht="15.75" x14ac:dyDescent="0.25">
      <c r="A61" s="2" t="s">
        <v>151</v>
      </c>
      <c r="B61" s="2" t="s">
        <v>1187</v>
      </c>
      <c r="C61" s="3">
        <v>2119</v>
      </c>
      <c r="D61" s="3">
        <v>4211</v>
      </c>
      <c r="E61" s="2" t="s">
        <v>1198</v>
      </c>
      <c r="F61" s="4" t="s">
        <v>143</v>
      </c>
      <c r="G61" s="4" t="s">
        <v>152</v>
      </c>
      <c r="H61" s="23"/>
      <c r="I61" s="23"/>
    </row>
    <row r="62" spans="1:9" ht="15.75" x14ac:dyDescent="0.25">
      <c r="A62" s="2" t="s">
        <v>153</v>
      </c>
      <c r="B62" s="2" t="s">
        <v>1187</v>
      </c>
      <c r="C62" s="3">
        <v>2430</v>
      </c>
      <c r="D62" s="3">
        <v>4831</v>
      </c>
      <c r="E62" s="2" t="s">
        <v>1218</v>
      </c>
      <c r="F62" s="4" t="s">
        <v>154</v>
      </c>
      <c r="G62" s="4" t="s">
        <v>155</v>
      </c>
      <c r="H62" s="23"/>
      <c r="I62" s="23"/>
    </row>
    <row r="63" spans="1:9" ht="15.75" x14ac:dyDescent="0.25">
      <c r="A63" s="2" t="s">
        <v>156</v>
      </c>
      <c r="B63" s="2" t="s">
        <v>1187</v>
      </c>
      <c r="C63" s="3">
        <v>3413</v>
      </c>
      <c r="D63" s="3">
        <v>3776</v>
      </c>
      <c r="E63" s="2" t="s">
        <v>1678</v>
      </c>
      <c r="F63" s="4" t="s">
        <v>157</v>
      </c>
      <c r="G63" s="4" t="s">
        <v>158</v>
      </c>
      <c r="H63" s="23"/>
      <c r="I63" s="23"/>
    </row>
    <row r="64" spans="1:9" ht="15.75" x14ac:dyDescent="0.25">
      <c r="A64" s="2" t="s">
        <v>159</v>
      </c>
      <c r="B64" s="2" t="s">
        <v>1187</v>
      </c>
      <c r="C64" s="3">
        <v>6862</v>
      </c>
      <c r="D64" s="3">
        <v>4004</v>
      </c>
      <c r="E64" s="2" t="s">
        <v>9</v>
      </c>
      <c r="F64" s="4" t="s">
        <v>9</v>
      </c>
      <c r="G64" s="4" t="s">
        <v>160</v>
      </c>
      <c r="H64" s="23"/>
      <c r="I64" s="23"/>
    </row>
    <row r="65" spans="1:9" ht="15.75" x14ac:dyDescent="0.25">
      <c r="A65" s="2" t="s">
        <v>161</v>
      </c>
      <c r="B65" s="2" t="s">
        <v>1187</v>
      </c>
      <c r="C65" s="3">
        <v>3497</v>
      </c>
      <c r="D65" s="3">
        <v>4101</v>
      </c>
      <c r="E65" s="2" t="s">
        <v>9</v>
      </c>
      <c r="F65" s="4" t="s">
        <v>9</v>
      </c>
      <c r="G65" s="4" t="s">
        <v>162</v>
      </c>
      <c r="H65" s="23"/>
      <c r="I65" s="23"/>
    </row>
    <row r="66" spans="1:9" ht="15.75" x14ac:dyDescent="0.25">
      <c r="A66" s="2" t="s">
        <v>163</v>
      </c>
      <c r="B66" s="2" t="s">
        <v>1187</v>
      </c>
      <c r="C66" s="3">
        <v>4308</v>
      </c>
      <c r="D66" s="3">
        <v>2253</v>
      </c>
      <c r="E66" s="2" t="s">
        <v>338</v>
      </c>
      <c r="F66" s="4" t="s">
        <v>164</v>
      </c>
      <c r="G66" s="4" t="s">
        <v>165</v>
      </c>
      <c r="H66" s="23"/>
      <c r="I66" s="23"/>
    </row>
    <row r="67" spans="1:9" ht="15.75" x14ac:dyDescent="0.25">
      <c r="A67" s="2" t="s">
        <v>166</v>
      </c>
      <c r="B67" s="2" t="s">
        <v>1187</v>
      </c>
      <c r="C67" s="3">
        <v>4423</v>
      </c>
      <c r="D67" s="3">
        <v>2421</v>
      </c>
      <c r="E67" s="2" t="s">
        <v>1677</v>
      </c>
      <c r="F67" s="4" t="s">
        <v>167</v>
      </c>
      <c r="G67" s="4" t="s">
        <v>168</v>
      </c>
      <c r="H67" s="23"/>
      <c r="I67" s="23"/>
    </row>
    <row r="68" spans="1:9" ht="15.75" x14ac:dyDescent="0.25">
      <c r="A68" s="2" t="s">
        <v>169</v>
      </c>
      <c r="B68" s="2" t="s">
        <v>1187</v>
      </c>
      <c r="C68" s="3">
        <v>6122</v>
      </c>
      <c r="D68" s="3">
        <v>4739</v>
      </c>
      <c r="E68" s="2" t="s">
        <v>1677</v>
      </c>
      <c r="F68" s="4" t="s">
        <v>45</v>
      </c>
      <c r="G68" s="4" t="s">
        <v>170</v>
      </c>
      <c r="H68" s="23"/>
      <c r="I68" s="23"/>
    </row>
    <row r="69" spans="1:9" ht="15.75" x14ac:dyDescent="0.25">
      <c r="A69" s="2" t="s">
        <v>171</v>
      </c>
      <c r="B69" s="2" t="s">
        <v>1187</v>
      </c>
      <c r="C69" s="3">
        <v>3901</v>
      </c>
      <c r="D69" s="3">
        <v>6112</v>
      </c>
      <c r="E69" s="2" t="s">
        <v>1679</v>
      </c>
      <c r="F69" s="4" t="s">
        <v>172</v>
      </c>
      <c r="G69" s="4" t="s">
        <v>173</v>
      </c>
      <c r="H69" s="23"/>
      <c r="I69" s="23"/>
    </row>
    <row r="70" spans="1:9" ht="15.75" x14ac:dyDescent="0.25">
      <c r="A70" s="2" t="s">
        <v>174</v>
      </c>
      <c r="B70" s="2" t="s">
        <v>1187</v>
      </c>
      <c r="C70" s="3">
        <v>6502</v>
      </c>
      <c r="D70" s="3">
        <v>4772</v>
      </c>
      <c r="E70" s="2" t="s">
        <v>1218</v>
      </c>
      <c r="F70" s="4" t="s">
        <v>105</v>
      </c>
      <c r="G70" s="4" t="s">
        <v>175</v>
      </c>
      <c r="H70" s="23"/>
      <c r="I70" s="23"/>
    </row>
    <row r="71" spans="1:9" ht="15.75" x14ac:dyDescent="0.25">
      <c r="A71" s="2" t="s">
        <v>176</v>
      </c>
      <c r="B71" s="2" t="s">
        <v>1187</v>
      </c>
      <c r="C71" s="3">
        <v>4089</v>
      </c>
      <c r="D71" s="3">
        <v>3413</v>
      </c>
      <c r="E71" s="2" t="s">
        <v>1218</v>
      </c>
      <c r="F71" s="4" t="s">
        <v>177</v>
      </c>
      <c r="G71" s="4" t="s">
        <v>178</v>
      </c>
      <c r="H71" s="23"/>
      <c r="I71" s="23"/>
    </row>
    <row r="72" spans="1:9" ht="15.75" x14ac:dyDescent="0.25">
      <c r="A72" s="2" t="s">
        <v>179</v>
      </c>
      <c r="B72" s="2" t="s">
        <v>1187</v>
      </c>
      <c r="C72" s="3">
        <v>1264</v>
      </c>
      <c r="D72" s="3">
        <v>3808</v>
      </c>
      <c r="E72" s="2" t="s">
        <v>1678</v>
      </c>
      <c r="F72" s="4" t="s">
        <v>135</v>
      </c>
      <c r="G72" s="4" t="s">
        <v>180</v>
      </c>
      <c r="H72" s="23"/>
      <c r="I72" s="23"/>
    </row>
    <row r="73" spans="1:9" ht="15.75" x14ac:dyDescent="0.25">
      <c r="A73" s="2" t="s">
        <v>181</v>
      </c>
      <c r="B73" s="2" t="s">
        <v>1187</v>
      </c>
      <c r="C73" s="3">
        <v>711</v>
      </c>
      <c r="D73" s="3">
        <v>4351</v>
      </c>
      <c r="E73" s="2" t="s">
        <v>1218</v>
      </c>
      <c r="F73" s="4" t="s">
        <v>182</v>
      </c>
      <c r="G73" s="4" t="s">
        <v>183</v>
      </c>
      <c r="H73" s="23"/>
      <c r="I73" s="23"/>
    </row>
    <row r="74" spans="1:9" ht="15.75" x14ac:dyDescent="0.25">
      <c r="A74" s="2" t="s">
        <v>1146</v>
      </c>
      <c r="B74" s="2" t="s">
        <v>1187</v>
      </c>
      <c r="C74" s="3">
        <v>1845</v>
      </c>
      <c r="D74" s="3">
        <v>1411</v>
      </c>
      <c r="E74" s="2" t="s">
        <v>70</v>
      </c>
      <c r="F74" s="4" t="s">
        <v>71</v>
      </c>
      <c r="G74" s="4" t="s">
        <v>184</v>
      </c>
      <c r="H74" s="23"/>
      <c r="I74" s="23"/>
    </row>
    <row r="75" spans="1:9" ht="15.75" x14ac:dyDescent="0.25">
      <c r="A75" s="2" t="s">
        <v>1147</v>
      </c>
      <c r="B75" s="2" t="s">
        <v>1187</v>
      </c>
      <c r="C75" s="3">
        <v>2751</v>
      </c>
      <c r="D75" s="3">
        <v>1552</v>
      </c>
      <c r="E75" s="2" t="s">
        <v>70</v>
      </c>
      <c r="F75" s="4" t="s">
        <v>71</v>
      </c>
      <c r="G75" s="4" t="s">
        <v>185</v>
      </c>
      <c r="H75" s="23"/>
      <c r="I75" s="23"/>
    </row>
    <row r="76" spans="1:9" ht="15.75" x14ac:dyDescent="0.25">
      <c r="A76" s="2" t="s">
        <v>186</v>
      </c>
      <c r="B76" s="2" t="s">
        <v>1187</v>
      </c>
      <c r="C76" s="3">
        <v>1793</v>
      </c>
      <c r="D76" s="3">
        <v>5055</v>
      </c>
      <c r="E76" s="2" t="s">
        <v>1218</v>
      </c>
      <c r="F76" s="4" t="s">
        <v>187</v>
      </c>
      <c r="G76" s="4" t="s">
        <v>188</v>
      </c>
      <c r="H76" s="23"/>
      <c r="I76" s="23"/>
    </row>
    <row r="77" spans="1:9" ht="15.75" x14ac:dyDescent="0.25">
      <c r="A77" s="2" t="s">
        <v>189</v>
      </c>
      <c r="B77" s="2" t="s">
        <v>1187</v>
      </c>
      <c r="C77" s="3">
        <v>6313</v>
      </c>
      <c r="D77" s="3">
        <v>4831</v>
      </c>
      <c r="E77" s="2" t="s">
        <v>1677</v>
      </c>
      <c r="F77" s="4" t="s">
        <v>45</v>
      </c>
      <c r="G77" s="4" t="s">
        <v>190</v>
      </c>
      <c r="H77" s="23"/>
      <c r="I77" s="23"/>
    </row>
    <row r="78" spans="1:9" ht="15.75" x14ac:dyDescent="0.25">
      <c r="A78" s="2" t="s">
        <v>191</v>
      </c>
      <c r="B78" s="2" t="s">
        <v>1187</v>
      </c>
      <c r="C78" s="3">
        <v>6507</v>
      </c>
      <c r="D78" s="3">
        <v>5496</v>
      </c>
      <c r="E78" s="2" t="s">
        <v>1677</v>
      </c>
      <c r="F78" s="4" t="s">
        <v>45</v>
      </c>
      <c r="G78" s="4" t="s">
        <v>192</v>
      </c>
      <c r="H78" s="23"/>
      <c r="I78" s="23"/>
    </row>
    <row r="79" spans="1:9" ht="15.75" x14ac:dyDescent="0.25">
      <c r="A79" s="2" t="s">
        <v>193</v>
      </c>
      <c r="B79" s="2" t="s">
        <v>1187</v>
      </c>
      <c r="C79" s="3">
        <v>3430</v>
      </c>
      <c r="D79" s="3">
        <v>4842</v>
      </c>
      <c r="E79" s="2" t="s">
        <v>1218</v>
      </c>
      <c r="F79" s="4" t="s">
        <v>140</v>
      </c>
      <c r="G79" s="4" t="s">
        <v>194</v>
      </c>
      <c r="H79" s="23"/>
      <c r="I79" s="23"/>
    </row>
    <row r="80" spans="1:9" ht="15.75" x14ac:dyDescent="0.25">
      <c r="A80" s="2" t="s">
        <v>195</v>
      </c>
      <c r="B80" s="2" t="s">
        <v>1187</v>
      </c>
      <c r="C80" s="3">
        <v>3969</v>
      </c>
      <c r="D80" s="3">
        <v>6021</v>
      </c>
      <c r="E80" s="2" t="s">
        <v>22</v>
      </c>
      <c r="F80" s="4" t="s">
        <v>22</v>
      </c>
      <c r="G80" s="4" t="s">
        <v>196</v>
      </c>
      <c r="H80" s="23"/>
      <c r="I80" s="23"/>
    </row>
    <row r="81" spans="1:9" ht="15.75" x14ac:dyDescent="0.25">
      <c r="A81" s="2" t="s">
        <v>197</v>
      </c>
      <c r="B81" s="2" t="s">
        <v>1187</v>
      </c>
      <c r="C81" s="3">
        <v>2316</v>
      </c>
      <c r="D81" s="3">
        <v>4890</v>
      </c>
      <c r="E81" s="2" t="s">
        <v>1218</v>
      </c>
      <c r="F81" s="4" t="s">
        <v>198</v>
      </c>
      <c r="G81" s="4" t="s">
        <v>199</v>
      </c>
      <c r="H81" s="23"/>
      <c r="I81" s="23"/>
    </row>
    <row r="82" spans="1:9" ht="15.75" x14ac:dyDescent="0.25">
      <c r="A82" s="2" t="s">
        <v>200</v>
      </c>
      <c r="B82" s="2" t="s">
        <v>1187</v>
      </c>
      <c r="C82" s="3">
        <v>4739</v>
      </c>
      <c r="D82" s="3">
        <v>4861</v>
      </c>
      <c r="E82" s="2" t="s">
        <v>1677</v>
      </c>
      <c r="F82" s="4" t="s">
        <v>201</v>
      </c>
      <c r="G82" s="4" t="s">
        <v>202</v>
      </c>
      <c r="H82" s="23"/>
      <c r="I82" s="23"/>
    </row>
    <row r="83" spans="1:9" ht="15.75" x14ac:dyDescent="0.25">
      <c r="A83" s="2" t="s">
        <v>203</v>
      </c>
      <c r="B83" s="2" t="s">
        <v>1187</v>
      </c>
      <c r="C83" s="3">
        <v>6664</v>
      </c>
      <c r="D83" s="3">
        <v>3496</v>
      </c>
      <c r="E83" s="2" t="s">
        <v>70</v>
      </c>
      <c r="F83" s="4" t="s">
        <v>117</v>
      </c>
      <c r="G83" s="4" t="s">
        <v>204</v>
      </c>
      <c r="H83" s="23"/>
      <c r="I83" s="23"/>
    </row>
    <row r="84" spans="1:9" ht="15.75" x14ac:dyDescent="0.25">
      <c r="A84" s="2" t="s">
        <v>205</v>
      </c>
      <c r="B84" s="2" t="s">
        <v>1187</v>
      </c>
      <c r="C84" s="3">
        <v>1385</v>
      </c>
      <c r="D84" s="3">
        <v>4978</v>
      </c>
      <c r="E84" s="2" t="s">
        <v>1204</v>
      </c>
      <c r="F84" s="4" t="s">
        <v>68</v>
      </c>
      <c r="G84" s="4" t="s">
        <v>206</v>
      </c>
      <c r="H84" s="23"/>
      <c r="I84" s="23"/>
    </row>
    <row r="85" spans="1:9" ht="15.75" x14ac:dyDescent="0.25">
      <c r="A85" s="2" t="s">
        <v>207</v>
      </c>
      <c r="B85" s="2" t="s">
        <v>1187</v>
      </c>
      <c r="C85" s="3">
        <v>2970</v>
      </c>
      <c r="D85" s="3">
        <v>5886</v>
      </c>
      <c r="E85" s="2" t="s">
        <v>1218</v>
      </c>
      <c r="F85" s="4" t="s">
        <v>208</v>
      </c>
      <c r="G85" s="4" t="s">
        <v>209</v>
      </c>
      <c r="H85" s="23"/>
      <c r="I85" s="23"/>
    </row>
    <row r="86" spans="1:9" ht="15.75" x14ac:dyDescent="0.25">
      <c r="A86" s="2" t="s">
        <v>210</v>
      </c>
      <c r="B86" s="2" t="s">
        <v>1187</v>
      </c>
      <c r="C86" s="3">
        <v>5630</v>
      </c>
      <c r="D86" s="3">
        <v>2551</v>
      </c>
      <c r="E86" s="2" t="s">
        <v>1218</v>
      </c>
      <c r="F86" s="4" t="s">
        <v>42</v>
      </c>
      <c r="G86" s="4" t="s">
        <v>211</v>
      </c>
      <c r="H86" s="23"/>
      <c r="I86" s="23"/>
    </row>
    <row r="87" spans="1:9" ht="15.75" x14ac:dyDescent="0.25">
      <c r="A87" s="2" t="s">
        <v>212</v>
      </c>
      <c r="B87" s="2" t="s">
        <v>1187</v>
      </c>
      <c r="C87" s="3">
        <v>4817</v>
      </c>
      <c r="D87" s="3">
        <v>4988</v>
      </c>
      <c r="E87" s="2" t="s">
        <v>1218</v>
      </c>
      <c r="F87" s="4" t="s">
        <v>102</v>
      </c>
      <c r="G87" s="4" t="s">
        <v>213</v>
      </c>
      <c r="H87" s="23"/>
      <c r="I87" s="23"/>
    </row>
    <row r="88" spans="1:9" ht="15.75" x14ac:dyDescent="0.25">
      <c r="A88" s="2" t="s">
        <v>214</v>
      </c>
      <c r="B88" s="2" t="s">
        <v>1187</v>
      </c>
      <c r="C88" s="3">
        <v>4651</v>
      </c>
      <c r="D88" s="3">
        <v>4682</v>
      </c>
      <c r="E88" s="2" t="s">
        <v>1677</v>
      </c>
      <c r="F88" s="4" t="s">
        <v>201</v>
      </c>
      <c r="G88" s="4" t="s">
        <v>215</v>
      </c>
      <c r="H88" s="23"/>
      <c r="I88" s="23"/>
    </row>
    <row r="89" spans="1:9" ht="15.75" x14ac:dyDescent="0.25">
      <c r="A89" s="2" t="s">
        <v>216</v>
      </c>
      <c r="B89" s="2" t="s">
        <v>1187</v>
      </c>
      <c r="C89" s="3">
        <v>6784</v>
      </c>
      <c r="D89" s="3">
        <v>4972</v>
      </c>
      <c r="E89" s="2" t="s">
        <v>1218</v>
      </c>
      <c r="F89" s="4" t="s">
        <v>217</v>
      </c>
      <c r="G89" s="4" t="s">
        <v>218</v>
      </c>
      <c r="H89" s="23"/>
      <c r="I89" s="23"/>
    </row>
    <row r="90" spans="1:9" ht="15.75" x14ac:dyDescent="0.25">
      <c r="A90" s="2" t="s">
        <v>219</v>
      </c>
      <c r="B90" s="2" t="s">
        <v>1187</v>
      </c>
      <c r="C90" s="3">
        <v>1628</v>
      </c>
      <c r="D90" s="3">
        <v>3238</v>
      </c>
      <c r="E90" s="2" t="s">
        <v>1218</v>
      </c>
      <c r="F90" s="4" t="s">
        <v>57</v>
      </c>
      <c r="G90" s="4" t="s">
        <v>220</v>
      </c>
      <c r="H90" s="23"/>
      <c r="I90" s="23"/>
    </row>
    <row r="91" spans="1:9" ht="15.75" x14ac:dyDescent="0.25">
      <c r="A91" s="2" t="s">
        <v>221</v>
      </c>
      <c r="B91" s="2" t="s">
        <v>1187</v>
      </c>
      <c r="C91" s="3">
        <v>548</v>
      </c>
      <c r="D91" s="3">
        <v>3210</v>
      </c>
      <c r="E91" s="2" t="s">
        <v>1677</v>
      </c>
      <c r="F91" s="4" t="s">
        <v>222</v>
      </c>
      <c r="G91" s="4" t="s">
        <v>223</v>
      </c>
      <c r="H91" s="23"/>
      <c r="I91" s="23"/>
    </row>
    <row r="92" spans="1:9" ht="15.75" x14ac:dyDescent="0.25">
      <c r="A92" s="2" t="s">
        <v>224</v>
      </c>
      <c r="B92" s="2" t="s">
        <v>1187</v>
      </c>
      <c r="C92" s="3">
        <v>942</v>
      </c>
      <c r="D92" s="3">
        <v>3634</v>
      </c>
      <c r="E92" s="2" t="s">
        <v>1218</v>
      </c>
      <c r="F92" s="4" t="s">
        <v>62</v>
      </c>
      <c r="G92" s="4" t="s">
        <v>225</v>
      </c>
      <c r="H92" s="23"/>
      <c r="I92" s="23"/>
    </row>
    <row r="93" spans="1:9" ht="15.75" x14ac:dyDescent="0.25">
      <c r="A93" s="2" t="s">
        <v>226</v>
      </c>
      <c r="B93" s="2" t="s">
        <v>1187</v>
      </c>
      <c r="C93" s="3">
        <v>2320</v>
      </c>
      <c r="D93" s="3">
        <v>1040</v>
      </c>
      <c r="E93" s="2" t="s">
        <v>1218</v>
      </c>
      <c r="F93" s="4" t="s">
        <v>84</v>
      </c>
      <c r="G93" s="4" t="s">
        <v>227</v>
      </c>
      <c r="H93" s="23"/>
      <c r="I93" s="23"/>
    </row>
    <row r="94" spans="1:9" ht="15.75" x14ac:dyDescent="0.25">
      <c r="A94" s="2" t="s">
        <v>228</v>
      </c>
      <c r="B94" s="2" t="s">
        <v>1187</v>
      </c>
      <c r="C94" s="3">
        <v>2121</v>
      </c>
      <c r="D94" s="3">
        <v>4027</v>
      </c>
      <c r="E94" s="2" t="s">
        <v>1218</v>
      </c>
      <c r="F94" s="4" t="s">
        <v>229</v>
      </c>
      <c r="G94" s="4" t="s">
        <v>230</v>
      </c>
      <c r="H94" s="23"/>
      <c r="I94" s="23"/>
    </row>
    <row r="95" spans="1:9" ht="15.75" x14ac:dyDescent="0.25">
      <c r="A95" s="2" t="s">
        <v>231</v>
      </c>
      <c r="B95" s="2" t="s">
        <v>1187</v>
      </c>
      <c r="C95" s="3">
        <v>1212</v>
      </c>
      <c r="D95" s="3">
        <v>3749</v>
      </c>
      <c r="E95" s="2" t="s">
        <v>1218</v>
      </c>
      <c r="F95" s="4" t="s">
        <v>25</v>
      </c>
      <c r="G95" s="4" t="s">
        <v>232</v>
      </c>
      <c r="H95" s="23"/>
      <c r="I95" s="23"/>
    </row>
    <row r="96" spans="1:9" ht="15.75" x14ac:dyDescent="0.25">
      <c r="A96" s="2" t="s">
        <v>233</v>
      </c>
      <c r="B96" s="2" t="s">
        <v>1187</v>
      </c>
      <c r="C96" s="3">
        <v>3631</v>
      </c>
      <c r="D96" s="3">
        <v>6105</v>
      </c>
      <c r="E96" s="2" t="s">
        <v>1218</v>
      </c>
      <c r="F96" s="4" t="s">
        <v>234</v>
      </c>
      <c r="G96" s="4" t="s">
        <v>235</v>
      </c>
      <c r="H96" s="23"/>
      <c r="I96" s="23"/>
    </row>
    <row r="97" spans="1:9" ht="15.75" x14ac:dyDescent="0.25">
      <c r="A97" s="2" t="s">
        <v>1148</v>
      </c>
      <c r="B97" s="2" t="s">
        <v>1187</v>
      </c>
      <c r="C97" s="3">
        <v>2273</v>
      </c>
      <c r="D97" s="3">
        <v>963</v>
      </c>
      <c r="E97" s="2" t="s">
        <v>1218</v>
      </c>
      <c r="F97" s="4" t="s">
        <v>62</v>
      </c>
      <c r="G97" s="4" t="s">
        <v>236</v>
      </c>
      <c r="H97" s="23"/>
      <c r="I97" s="23"/>
    </row>
    <row r="98" spans="1:9" ht="15.75" x14ac:dyDescent="0.25">
      <c r="A98" s="2" t="s">
        <v>237</v>
      </c>
      <c r="B98" s="2" t="s">
        <v>1187</v>
      </c>
      <c r="C98" s="3">
        <v>2322</v>
      </c>
      <c r="D98" s="3">
        <v>4348</v>
      </c>
      <c r="E98" s="2" t="s">
        <v>1678</v>
      </c>
      <c r="F98" s="4" t="s">
        <v>238</v>
      </c>
      <c r="G98" s="4" t="s">
        <v>239</v>
      </c>
      <c r="H98" s="23"/>
      <c r="I98" s="23"/>
    </row>
    <row r="99" spans="1:9" ht="15.75" x14ac:dyDescent="0.25">
      <c r="A99" s="2" t="s">
        <v>240</v>
      </c>
      <c r="B99" s="2" t="s">
        <v>1187</v>
      </c>
      <c r="C99" s="3">
        <v>2412</v>
      </c>
      <c r="D99" s="3">
        <v>4471</v>
      </c>
      <c r="E99" s="2" t="s">
        <v>1218</v>
      </c>
      <c r="F99" s="4" t="s">
        <v>241</v>
      </c>
      <c r="G99" s="4" t="s">
        <v>242</v>
      </c>
      <c r="H99" s="23"/>
      <c r="I99" s="23"/>
    </row>
    <row r="100" spans="1:9" ht="15.75" x14ac:dyDescent="0.25">
      <c r="A100" s="2" t="s">
        <v>243</v>
      </c>
      <c r="B100" s="2" t="s">
        <v>1187</v>
      </c>
      <c r="C100" s="3">
        <v>3900</v>
      </c>
      <c r="D100" s="3">
        <v>5065</v>
      </c>
      <c r="E100" s="2" t="s">
        <v>1218</v>
      </c>
      <c r="F100" s="4" t="s">
        <v>244</v>
      </c>
      <c r="G100" s="4" t="s">
        <v>245</v>
      </c>
      <c r="H100" s="23"/>
      <c r="I100" s="23"/>
    </row>
    <row r="101" spans="1:9" ht="15.75" x14ac:dyDescent="0.25">
      <c r="A101" s="2" t="s">
        <v>246</v>
      </c>
      <c r="B101" s="2" t="s">
        <v>1187</v>
      </c>
      <c r="C101" s="3">
        <v>2192</v>
      </c>
      <c r="D101" s="3">
        <v>4272</v>
      </c>
      <c r="E101" s="2" t="s">
        <v>1218</v>
      </c>
      <c r="F101" s="4" t="s">
        <v>241</v>
      </c>
      <c r="G101" s="4" t="s">
        <v>247</v>
      </c>
      <c r="H101" s="23"/>
      <c r="I101" s="23"/>
    </row>
    <row r="102" spans="1:9" ht="15.75" x14ac:dyDescent="0.25">
      <c r="A102" s="2" t="s">
        <v>1149</v>
      </c>
      <c r="B102" s="2" t="s">
        <v>1187</v>
      </c>
      <c r="C102" s="3">
        <v>1975</v>
      </c>
      <c r="D102" s="3">
        <v>1343</v>
      </c>
      <c r="E102" s="2" t="s">
        <v>70</v>
      </c>
      <c r="F102" s="4" t="s">
        <v>71</v>
      </c>
      <c r="G102" s="4" t="s">
        <v>248</v>
      </c>
      <c r="H102" s="23"/>
      <c r="I102" s="23"/>
    </row>
    <row r="103" spans="1:9" ht="15.75" x14ac:dyDescent="0.25">
      <c r="A103" s="2" t="s">
        <v>1135</v>
      </c>
      <c r="B103" s="2" t="s">
        <v>1187</v>
      </c>
      <c r="C103" s="3">
        <v>3825</v>
      </c>
      <c r="D103" s="3">
        <v>6148</v>
      </c>
      <c r="E103" s="2" t="s">
        <v>1218</v>
      </c>
      <c r="F103" s="4" t="s">
        <v>229</v>
      </c>
      <c r="G103" s="4" t="s">
        <v>249</v>
      </c>
      <c r="H103" s="23"/>
      <c r="I103" s="23"/>
    </row>
    <row r="104" spans="1:9" ht="15.75" x14ac:dyDescent="0.25">
      <c r="A104" s="2" t="s">
        <v>250</v>
      </c>
      <c r="B104" s="2" t="s">
        <v>1187</v>
      </c>
      <c r="C104" s="3">
        <v>2219</v>
      </c>
      <c r="D104" s="3">
        <v>4345</v>
      </c>
      <c r="E104" s="2" t="s">
        <v>1218</v>
      </c>
      <c r="F104" s="4" t="s">
        <v>251</v>
      </c>
      <c r="G104" s="4" t="s">
        <v>252</v>
      </c>
      <c r="H104" s="23"/>
      <c r="I104" s="23"/>
    </row>
    <row r="105" spans="1:9" ht="15.75" x14ac:dyDescent="0.25">
      <c r="A105" s="2" t="s">
        <v>253</v>
      </c>
      <c r="B105" s="2" t="s">
        <v>1187</v>
      </c>
      <c r="C105" s="3">
        <v>6854</v>
      </c>
      <c r="D105" s="3">
        <v>4914</v>
      </c>
      <c r="E105" s="2" t="s">
        <v>1218</v>
      </c>
      <c r="F105" s="4" t="s">
        <v>254</v>
      </c>
      <c r="G105" s="4" t="s">
        <v>255</v>
      </c>
      <c r="H105" s="23"/>
      <c r="I105" s="23"/>
    </row>
    <row r="106" spans="1:9" ht="15.75" x14ac:dyDescent="0.25">
      <c r="A106" s="2" t="s">
        <v>256</v>
      </c>
      <c r="B106" s="2" t="s">
        <v>1187</v>
      </c>
      <c r="C106" s="3">
        <v>1354</v>
      </c>
      <c r="D106" s="3">
        <v>4981</v>
      </c>
      <c r="E106" s="2" t="s">
        <v>1677</v>
      </c>
      <c r="F106" s="4" t="s">
        <v>81</v>
      </c>
      <c r="G106" s="4" t="s">
        <v>257</v>
      </c>
      <c r="H106" s="23"/>
      <c r="I106" s="23"/>
    </row>
    <row r="107" spans="1:9" ht="15.75" x14ac:dyDescent="0.25">
      <c r="A107" s="2" t="s">
        <v>258</v>
      </c>
      <c r="B107" s="2" t="s">
        <v>1187</v>
      </c>
      <c r="C107" s="3">
        <v>3513</v>
      </c>
      <c r="D107" s="3">
        <v>3675</v>
      </c>
      <c r="E107" s="2" t="s">
        <v>1218</v>
      </c>
      <c r="F107" s="4" t="s">
        <v>126</v>
      </c>
      <c r="G107" s="4" t="s">
        <v>259</v>
      </c>
      <c r="H107" s="23"/>
      <c r="I107" s="23"/>
    </row>
    <row r="108" spans="1:9" ht="15.75" x14ac:dyDescent="0.25">
      <c r="A108" s="2" t="s">
        <v>260</v>
      </c>
      <c r="B108" s="2" t="s">
        <v>1187</v>
      </c>
      <c r="C108" s="3">
        <v>5238</v>
      </c>
      <c r="D108" s="3">
        <v>5947</v>
      </c>
      <c r="E108" s="2" t="s">
        <v>1678</v>
      </c>
      <c r="F108" s="4" t="s">
        <v>238</v>
      </c>
      <c r="G108" s="4" t="s">
        <v>261</v>
      </c>
      <c r="H108" s="23"/>
      <c r="I108" s="23"/>
    </row>
    <row r="109" spans="1:9" ht="15.75" x14ac:dyDescent="0.25">
      <c r="A109" s="2" t="s">
        <v>262</v>
      </c>
      <c r="B109" s="2" t="s">
        <v>1187</v>
      </c>
      <c r="C109" s="3">
        <v>3783</v>
      </c>
      <c r="D109" s="3">
        <v>6107</v>
      </c>
      <c r="E109" s="2" t="s">
        <v>1218</v>
      </c>
      <c r="F109" s="4" t="s">
        <v>208</v>
      </c>
      <c r="G109" s="4" t="s">
        <v>263</v>
      </c>
      <c r="H109" s="23"/>
      <c r="I109" s="23"/>
    </row>
    <row r="110" spans="1:9" ht="15.75" x14ac:dyDescent="0.25">
      <c r="A110" s="2" t="s">
        <v>264</v>
      </c>
      <c r="B110" s="2" t="s">
        <v>1187</v>
      </c>
      <c r="C110" s="3">
        <v>2314</v>
      </c>
      <c r="D110" s="3">
        <v>4771</v>
      </c>
      <c r="E110" s="2" t="s">
        <v>1218</v>
      </c>
      <c r="F110" s="4" t="s">
        <v>198</v>
      </c>
      <c r="G110" s="4" t="s">
        <v>265</v>
      </c>
      <c r="H110" s="23"/>
      <c r="I110" s="23"/>
    </row>
    <row r="111" spans="1:9" ht="15.75" x14ac:dyDescent="0.25">
      <c r="A111" s="2" t="s">
        <v>266</v>
      </c>
      <c r="B111" s="2" t="s">
        <v>1187</v>
      </c>
      <c r="C111" s="3">
        <v>2919</v>
      </c>
      <c r="D111" s="3">
        <v>5577</v>
      </c>
      <c r="E111" s="2" t="s">
        <v>1678</v>
      </c>
      <c r="F111" s="4" t="s">
        <v>267</v>
      </c>
      <c r="G111" s="4" t="s">
        <v>268</v>
      </c>
      <c r="H111" s="23"/>
      <c r="I111" s="23"/>
    </row>
    <row r="112" spans="1:9" ht="15.75" x14ac:dyDescent="0.25">
      <c r="A112" s="2" t="s">
        <v>269</v>
      </c>
      <c r="B112" s="2" t="s">
        <v>1187</v>
      </c>
      <c r="C112" s="3">
        <v>6756</v>
      </c>
      <c r="D112" s="3">
        <v>4971</v>
      </c>
      <c r="E112" s="2" t="s">
        <v>1218</v>
      </c>
      <c r="F112" s="4" t="s">
        <v>270</v>
      </c>
      <c r="G112" s="4" t="s">
        <v>271</v>
      </c>
      <c r="H112" s="23"/>
      <c r="I112" s="23"/>
    </row>
    <row r="113" spans="1:9" ht="15.75" x14ac:dyDescent="0.25">
      <c r="A113" s="2" t="s">
        <v>272</v>
      </c>
      <c r="B113" s="2" t="s">
        <v>1187</v>
      </c>
      <c r="C113" s="3">
        <v>3987</v>
      </c>
      <c r="D113" s="3">
        <v>4514</v>
      </c>
      <c r="E113" s="2" t="s">
        <v>1680</v>
      </c>
      <c r="F113" s="4" t="s">
        <v>273</v>
      </c>
      <c r="G113" s="4" t="s">
        <v>274</v>
      </c>
      <c r="H113" s="23"/>
      <c r="I113" s="23"/>
    </row>
    <row r="114" spans="1:9" ht="15.75" x14ac:dyDescent="0.25">
      <c r="A114" s="2" t="s">
        <v>275</v>
      </c>
      <c r="B114" s="2" t="s">
        <v>1187</v>
      </c>
      <c r="C114" s="3">
        <v>3917</v>
      </c>
      <c r="D114" s="3">
        <v>4802</v>
      </c>
      <c r="E114" s="2" t="s">
        <v>1199</v>
      </c>
      <c r="F114" s="4" t="s">
        <v>276</v>
      </c>
      <c r="G114" s="4" t="s">
        <v>277</v>
      </c>
      <c r="H114" s="23"/>
      <c r="I114" s="23"/>
    </row>
    <row r="115" spans="1:9" ht="15.75" x14ac:dyDescent="0.25">
      <c r="A115" s="2" t="s">
        <v>278</v>
      </c>
      <c r="B115" s="2" t="s">
        <v>1187</v>
      </c>
      <c r="C115" s="3">
        <v>2793</v>
      </c>
      <c r="D115" s="3">
        <v>5598</v>
      </c>
      <c r="E115" s="2" t="s">
        <v>1218</v>
      </c>
      <c r="F115" s="4" t="s">
        <v>208</v>
      </c>
      <c r="G115" s="4" t="s">
        <v>279</v>
      </c>
      <c r="H115" s="23"/>
      <c r="I115" s="23"/>
    </row>
    <row r="116" spans="1:9" ht="15.75" x14ac:dyDescent="0.25">
      <c r="A116" s="2" t="s">
        <v>280</v>
      </c>
      <c r="B116" s="2" t="s">
        <v>1187</v>
      </c>
      <c r="C116" s="3">
        <v>2050</v>
      </c>
      <c r="D116" s="3">
        <v>6188</v>
      </c>
      <c r="E116" s="2" t="s">
        <v>1678</v>
      </c>
      <c r="F116" s="4" t="s">
        <v>238</v>
      </c>
      <c r="G116" s="4" t="s">
        <v>281</v>
      </c>
      <c r="H116" s="23"/>
      <c r="I116" s="23"/>
    </row>
    <row r="117" spans="1:9" ht="15.75" x14ac:dyDescent="0.25">
      <c r="A117" s="2" t="s">
        <v>282</v>
      </c>
      <c r="B117" s="2" t="s">
        <v>1187</v>
      </c>
      <c r="C117" s="3">
        <v>2379</v>
      </c>
      <c r="D117" s="3">
        <v>5933</v>
      </c>
      <c r="E117" s="2" t="s">
        <v>1204</v>
      </c>
      <c r="F117" s="4" t="s">
        <v>68</v>
      </c>
      <c r="G117" s="4" t="s">
        <v>283</v>
      </c>
      <c r="H117" s="23"/>
      <c r="I117" s="23"/>
    </row>
    <row r="118" spans="1:9" ht="15.75" x14ac:dyDescent="0.25">
      <c r="A118" s="2" t="s">
        <v>284</v>
      </c>
      <c r="B118" s="2" t="s">
        <v>1187</v>
      </c>
      <c r="C118" s="3">
        <v>2106</v>
      </c>
      <c r="D118" s="3">
        <v>3994</v>
      </c>
      <c r="E118" s="2" t="s">
        <v>1218</v>
      </c>
      <c r="F118" s="4" t="s">
        <v>270</v>
      </c>
      <c r="G118" s="4" t="s">
        <v>285</v>
      </c>
      <c r="H118" s="23"/>
      <c r="I118" s="23"/>
    </row>
    <row r="119" spans="1:9" ht="15.75" x14ac:dyDescent="0.25">
      <c r="A119" s="2" t="s">
        <v>286</v>
      </c>
      <c r="B119" s="2" t="s">
        <v>1187</v>
      </c>
      <c r="C119" s="3">
        <v>4843</v>
      </c>
      <c r="D119" s="3">
        <v>2143</v>
      </c>
      <c r="E119" s="2" t="s">
        <v>1204</v>
      </c>
      <c r="F119" s="4" t="s">
        <v>68</v>
      </c>
      <c r="G119" s="4" t="s">
        <v>287</v>
      </c>
      <c r="H119" s="23"/>
      <c r="I119" s="23"/>
    </row>
    <row r="120" spans="1:9" ht="15.75" x14ac:dyDescent="0.25">
      <c r="A120" s="2" t="s">
        <v>288</v>
      </c>
      <c r="B120" s="2" t="s">
        <v>1187</v>
      </c>
      <c r="C120" s="3">
        <v>6729</v>
      </c>
      <c r="D120" s="3">
        <v>4861</v>
      </c>
      <c r="E120" s="2" t="s">
        <v>70</v>
      </c>
      <c r="F120" s="4" t="s">
        <v>117</v>
      </c>
      <c r="G120" s="4" t="s">
        <v>289</v>
      </c>
      <c r="H120" s="23"/>
      <c r="I120" s="23"/>
    </row>
    <row r="121" spans="1:9" ht="15.75" x14ac:dyDescent="0.25">
      <c r="A121" s="2" t="s">
        <v>1122</v>
      </c>
      <c r="B121" s="2" t="s">
        <v>1187</v>
      </c>
      <c r="C121" s="3">
        <v>3550</v>
      </c>
      <c r="D121" s="3">
        <v>1450</v>
      </c>
      <c r="E121" s="2" t="s">
        <v>1678</v>
      </c>
      <c r="F121" s="4" t="s">
        <v>238</v>
      </c>
      <c r="G121" s="4" t="s">
        <v>1681</v>
      </c>
      <c r="H121" s="23" t="s">
        <v>2240</v>
      </c>
      <c r="I121" s="23" t="s">
        <v>2241</v>
      </c>
    </row>
    <row r="122" spans="1:9" ht="15.75" x14ac:dyDescent="0.25">
      <c r="A122" s="2" t="s">
        <v>290</v>
      </c>
      <c r="B122" s="2" t="s">
        <v>1187</v>
      </c>
      <c r="C122" s="3">
        <v>2800</v>
      </c>
      <c r="D122" s="3">
        <v>850</v>
      </c>
      <c r="E122" s="2" t="s">
        <v>70</v>
      </c>
      <c r="F122" s="4" t="s">
        <v>71</v>
      </c>
      <c r="G122" s="4" t="s">
        <v>291</v>
      </c>
      <c r="H122" s="23"/>
      <c r="I122" s="23"/>
    </row>
    <row r="123" spans="1:9" ht="15.75" x14ac:dyDescent="0.25">
      <c r="A123" s="2" t="s">
        <v>1119</v>
      </c>
      <c r="B123" s="2" t="s">
        <v>1187</v>
      </c>
      <c r="C123" s="3">
        <v>2036</v>
      </c>
      <c r="D123" s="3">
        <v>4840</v>
      </c>
      <c r="E123" s="2" t="s">
        <v>1199</v>
      </c>
      <c r="F123" s="4" t="s">
        <v>276</v>
      </c>
      <c r="G123" s="4" t="s">
        <v>866</v>
      </c>
      <c r="H123" s="2" t="s">
        <v>2238</v>
      </c>
      <c r="I123" s="2" t="s">
        <v>2239</v>
      </c>
    </row>
    <row r="124" spans="1:9" ht="15.75" x14ac:dyDescent="0.25">
      <c r="A124" s="2" t="s">
        <v>292</v>
      </c>
      <c r="B124" s="2" t="s">
        <v>1187</v>
      </c>
      <c r="C124" s="3">
        <v>5714</v>
      </c>
      <c r="D124" s="3">
        <v>3455</v>
      </c>
      <c r="E124" s="2" t="s">
        <v>1218</v>
      </c>
      <c r="F124" s="4" t="s">
        <v>62</v>
      </c>
      <c r="G124" s="4" t="s">
        <v>293</v>
      </c>
      <c r="H124" s="23"/>
      <c r="I124" s="23"/>
    </row>
    <row r="125" spans="1:9" ht="15.75" x14ac:dyDescent="0.25">
      <c r="A125" s="2" t="s">
        <v>294</v>
      </c>
      <c r="B125" s="2" t="s">
        <v>1187</v>
      </c>
      <c r="C125" s="3">
        <v>2406</v>
      </c>
      <c r="D125" s="3">
        <v>1199</v>
      </c>
      <c r="E125" s="2" t="s">
        <v>1677</v>
      </c>
      <c r="F125" s="4" t="s">
        <v>108</v>
      </c>
      <c r="G125" s="4" t="s">
        <v>295</v>
      </c>
      <c r="H125" s="23"/>
      <c r="I125" s="23"/>
    </row>
    <row r="126" spans="1:9" ht="15.75" x14ac:dyDescent="0.25">
      <c r="A126" s="2" t="s">
        <v>296</v>
      </c>
      <c r="B126" s="2" t="s">
        <v>1187</v>
      </c>
      <c r="C126" s="3">
        <v>885</v>
      </c>
      <c r="D126" s="3">
        <v>3109</v>
      </c>
      <c r="E126" s="2" t="s">
        <v>1218</v>
      </c>
      <c r="F126" s="4" t="s">
        <v>297</v>
      </c>
      <c r="G126" s="4" t="s">
        <v>298</v>
      </c>
      <c r="H126" s="23"/>
      <c r="I126" s="23"/>
    </row>
    <row r="127" spans="1:9" ht="15.75" x14ac:dyDescent="0.25">
      <c r="A127" s="2" t="s">
        <v>299</v>
      </c>
      <c r="B127" s="2" t="s">
        <v>1187</v>
      </c>
      <c r="C127" s="3">
        <v>5043</v>
      </c>
      <c r="D127" s="3">
        <v>2055</v>
      </c>
      <c r="E127" s="2" t="s">
        <v>1678</v>
      </c>
      <c r="F127" s="4" t="s">
        <v>87</v>
      </c>
      <c r="G127" s="4" t="s">
        <v>300</v>
      </c>
      <c r="H127" s="23"/>
      <c r="I127" s="23"/>
    </row>
    <row r="128" spans="1:9" ht="15.75" x14ac:dyDescent="0.25">
      <c r="A128" s="2" t="s">
        <v>301</v>
      </c>
      <c r="B128" s="2" t="s">
        <v>1187</v>
      </c>
      <c r="C128" s="3">
        <v>2213</v>
      </c>
      <c r="D128" s="3">
        <v>998</v>
      </c>
      <c r="E128" s="2" t="s">
        <v>1218</v>
      </c>
      <c r="F128" s="4" t="s">
        <v>254</v>
      </c>
      <c r="G128" s="4" t="s">
        <v>302</v>
      </c>
      <c r="H128" s="23"/>
      <c r="I128" s="23"/>
    </row>
    <row r="129" spans="1:9" ht="15.75" x14ac:dyDescent="0.25">
      <c r="A129" s="2" t="s">
        <v>303</v>
      </c>
      <c r="B129" s="2" t="s">
        <v>1187</v>
      </c>
      <c r="C129" s="3">
        <v>3004</v>
      </c>
      <c r="D129" s="3">
        <v>5888</v>
      </c>
      <c r="E129" s="2" t="s">
        <v>1677</v>
      </c>
      <c r="F129" s="4" t="s">
        <v>222</v>
      </c>
      <c r="G129" s="4" t="s">
        <v>304</v>
      </c>
      <c r="H129" s="23"/>
      <c r="I129" s="23"/>
    </row>
    <row r="130" spans="1:9" ht="15.75" x14ac:dyDescent="0.25">
      <c r="A130" s="2" t="s">
        <v>305</v>
      </c>
      <c r="B130" s="2" t="s">
        <v>1187</v>
      </c>
      <c r="C130" s="3">
        <v>421</v>
      </c>
      <c r="D130" s="3">
        <v>2891</v>
      </c>
      <c r="E130" s="2" t="s">
        <v>1218</v>
      </c>
      <c r="F130" s="4" t="s">
        <v>306</v>
      </c>
      <c r="G130" s="4" t="s">
        <v>307</v>
      </c>
      <c r="H130" s="23"/>
      <c r="I130" s="23"/>
    </row>
    <row r="131" spans="1:9" ht="15.75" x14ac:dyDescent="0.25">
      <c r="A131" s="2" t="s">
        <v>308</v>
      </c>
      <c r="B131" s="2" t="s">
        <v>1187</v>
      </c>
      <c r="C131" s="3">
        <v>2423</v>
      </c>
      <c r="D131" s="3">
        <v>5785</v>
      </c>
      <c r="E131" s="2" t="s">
        <v>9</v>
      </c>
      <c r="F131" s="4" t="s">
        <v>9</v>
      </c>
      <c r="G131" s="4" t="s">
        <v>309</v>
      </c>
      <c r="H131" s="23"/>
      <c r="I131" s="23"/>
    </row>
    <row r="132" spans="1:9" ht="15.75" x14ac:dyDescent="0.25">
      <c r="A132" s="2" t="s">
        <v>310</v>
      </c>
      <c r="B132" s="2" t="s">
        <v>1187</v>
      </c>
      <c r="C132" s="3">
        <v>4280</v>
      </c>
      <c r="D132" s="3">
        <v>6169</v>
      </c>
      <c r="E132" s="2" t="s">
        <v>1679</v>
      </c>
      <c r="F132" s="4" t="s">
        <v>172</v>
      </c>
      <c r="G132" s="4" t="s">
        <v>311</v>
      </c>
      <c r="H132" s="23"/>
      <c r="I132" s="23"/>
    </row>
    <row r="133" spans="1:9" ht="15.75" x14ac:dyDescent="0.25">
      <c r="A133" s="2" t="s">
        <v>312</v>
      </c>
      <c r="B133" s="2" t="s">
        <v>1187</v>
      </c>
      <c r="C133" s="3">
        <v>2257</v>
      </c>
      <c r="D133" s="3">
        <v>944</v>
      </c>
      <c r="E133" s="2" t="s">
        <v>1218</v>
      </c>
      <c r="F133" s="4" t="s">
        <v>313</v>
      </c>
      <c r="G133" s="4" t="s">
        <v>314</v>
      </c>
      <c r="H133" s="23"/>
      <c r="I133" s="23"/>
    </row>
    <row r="134" spans="1:9" ht="15.75" x14ac:dyDescent="0.25">
      <c r="A134" s="2" t="s">
        <v>315</v>
      </c>
      <c r="B134" s="2" t="s">
        <v>1187</v>
      </c>
      <c r="C134" s="3">
        <v>4727</v>
      </c>
      <c r="D134" s="3">
        <v>1734</v>
      </c>
      <c r="E134" s="2" t="s">
        <v>1204</v>
      </c>
      <c r="F134" s="4" t="s">
        <v>16</v>
      </c>
      <c r="G134" s="4" t="s">
        <v>316</v>
      </c>
      <c r="H134" s="23"/>
      <c r="I134" s="23"/>
    </row>
    <row r="135" spans="1:9" ht="15.75" x14ac:dyDescent="0.25">
      <c r="A135" s="2" t="s">
        <v>317</v>
      </c>
      <c r="B135" s="2" t="s">
        <v>1187</v>
      </c>
      <c r="C135" s="3">
        <v>4016</v>
      </c>
      <c r="D135" s="3">
        <v>2363</v>
      </c>
      <c r="E135" s="2" t="s">
        <v>1680</v>
      </c>
      <c r="F135" s="4" t="s">
        <v>273</v>
      </c>
      <c r="G135" s="4" t="s">
        <v>318</v>
      </c>
      <c r="H135" s="23"/>
      <c r="I135" s="23"/>
    </row>
    <row r="136" spans="1:9" ht="15.75" x14ac:dyDescent="0.25">
      <c r="A136" s="2" t="s">
        <v>319</v>
      </c>
      <c r="B136" s="2" t="s">
        <v>1187</v>
      </c>
      <c r="C136" s="3">
        <v>2244</v>
      </c>
      <c r="D136" s="3">
        <v>5152</v>
      </c>
      <c r="E136" s="2" t="s">
        <v>1680</v>
      </c>
      <c r="F136" s="4" t="s">
        <v>273</v>
      </c>
      <c r="G136" s="4" t="s">
        <v>320</v>
      </c>
      <c r="H136" s="23"/>
      <c r="I136" s="23"/>
    </row>
    <row r="137" spans="1:9" ht="15.75" x14ac:dyDescent="0.25">
      <c r="A137" s="2" t="s">
        <v>321</v>
      </c>
      <c r="B137" s="2" t="s">
        <v>1187</v>
      </c>
      <c r="C137" s="3">
        <v>4575</v>
      </c>
      <c r="D137" s="3">
        <v>1884</v>
      </c>
      <c r="E137" s="2" t="s">
        <v>1680</v>
      </c>
      <c r="F137" s="4" t="s">
        <v>273</v>
      </c>
      <c r="G137" s="4" t="s">
        <v>322</v>
      </c>
      <c r="H137" s="23"/>
      <c r="I137" s="23"/>
    </row>
    <row r="138" spans="1:9" ht="15.75" x14ac:dyDescent="0.25">
      <c r="A138" s="2" t="s">
        <v>323</v>
      </c>
      <c r="B138" s="2" t="s">
        <v>1187</v>
      </c>
      <c r="C138" s="3">
        <v>4254</v>
      </c>
      <c r="D138" s="3">
        <v>2118</v>
      </c>
      <c r="E138" s="2" t="s">
        <v>1680</v>
      </c>
      <c r="F138" s="4" t="s">
        <v>273</v>
      </c>
      <c r="G138" s="4" t="s">
        <v>324</v>
      </c>
      <c r="H138" s="23"/>
      <c r="I138" s="23"/>
    </row>
    <row r="139" spans="1:9" ht="15.75" x14ac:dyDescent="0.25">
      <c r="A139" s="2" t="s">
        <v>325</v>
      </c>
      <c r="B139" s="2" t="s">
        <v>1187</v>
      </c>
      <c r="C139" s="3">
        <v>4154</v>
      </c>
      <c r="D139" s="3">
        <v>2116</v>
      </c>
      <c r="E139" s="2" t="s">
        <v>1680</v>
      </c>
      <c r="F139" s="4" t="s">
        <v>273</v>
      </c>
      <c r="G139" s="4" t="s">
        <v>326</v>
      </c>
      <c r="H139" s="23"/>
      <c r="I139" s="23"/>
    </row>
    <row r="140" spans="1:9" ht="15.75" x14ac:dyDescent="0.25">
      <c r="A140" s="2" t="s">
        <v>327</v>
      </c>
      <c r="B140" s="2" t="s">
        <v>1187</v>
      </c>
      <c r="C140" s="3">
        <v>4156</v>
      </c>
      <c r="D140" s="3">
        <v>2336</v>
      </c>
      <c r="E140" s="2" t="s">
        <v>1680</v>
      </c>
      <c r="F140" s="4" t="s">
        <v>273</v>
      </c>
      <c r="G140" s="4" t="s">
        <v>328</v>
      </c>
      <c r="H140" s="23"/>
      <c r="I140" s="23"/>
    </row>
    <row r="141" spans="1:9" ht="15.75" x14ac:dyDescent="0.25">
      <c r="A141" s="2" t="s">
        <v>329</v>
      </c>
      <c r="B141" s="2" t="s">
        <v>1187</v>
      </c>
      <c r="C141" s="3">
        <v>4574</v>
      </c>
      <c r="D141" s="3">
        <v>2106</v>
      </c>
      <c r="E141" s="2" t="s">
        <v>1680</v>
      </c>
      <c r="F141" s="4" t="s">
        <v>273</v>
      </c>
      <c r="G141" s="4" t="s">
        <v>330</v>
      </c>
      <c r="H141" s="23"/>
      <c r="I141" s="23"/>
    </row>
    <row r="142" spans="1:9" ht="15.75" x14ac:dyDescent="0.25">
      <c r="A142" s="2" t="s">
        <v>331</v>
      </c>
      <c r="B142" s="2" t="s">
        <v>1187</v>
      </c>
      <c r="C142" s="3">
        <v>3920</v>
      </c>
      <c r="D142" s="3">
        <v>2311</v>
      </c>
      <c r="E142" s="2" t="s">
        <v>1680</v>
      </c>
      <c r="F142" s="4" t="s">
        <v>273</v>
      </c>
      <c r="G142" s="4" t="s">
        <v>332</v>
      </c>
      <c r="H142" s="23"/>
      <c r="I142" s="23"/>
    </row>
    <row r="143" spans="1:9" ht="15.75" x14ac:dyDescent="0.25">
      <c r="A143" s="2" t="s">
        <v>333</v>
      </c>
      <c r="B143" s="2" t="s">
        <v>1187</v>
      </c>
      <c r="C143" s="3">
        <v>2274</v>
      </c>
      <c r="D143" s="3">
        <v>4243</v>
      </c>
      <c r="E143" s="2" t="s">
        <v>1680</v>
      </c>
      <c r="F143" s="4" t="s">
        <v>273</v>
      </c>
      <c r="G143" s="4" t="s">
        <v>334</v>
      </c>
      <c r="H143" s="23"/>
      <c r="I143" s="23"/>
    </row>
    <row r="144" spans="1:9" ht="15.75" x14ac:dyDescent="0.25">
      <c r="A144" s="2" t="s">
        <v>335</v>
      </c>
      <c r="B144" s="2" t="s">
        <v>1187</v>
      </c>
      <c r="C144" s="3">
        <v>3621</v>
      </c>
      <c r="D144" s="3">
        <v>3916</v>
      </c>
      <c r="E144" s="2" t="s">
        <v>1218</v>
      </c>
      <c r="F144" s="4" t="s">
        <v>92</v>
      </c>
      <c r="G144" s="4" t="s">
        <v>336</v>
      </c>
      <c r="H144" s="23"/>
      <c r="I144" s="23"/>
    </row>
    <row r="145" spans="1:9" ht="15.75" x14ac:dyDescent="0.25">
      <c r="A145" s="2" t="s">
        <v>337</v>
      </c>
      <c r="B145" s="2" t="s">
        <v>1187</v>
      </c>
      <c r="C145" s="3">
        <v>4466</v>
      </c>
      <c r="D145" s="3">
        <v>2290</v>
      </c>
      <c r="E145" s="2" t="s">
        <v>338</v>
      </c>
      <c r="F145" s="4" t="s">
        <v>338</v>
      </c>
      <c r="G145" s="4" t="s">
        <v>339</v>
      </c>
      <c r="H145" s="23"/>
      <c r="I145" s="23"/>
    </row>
    <row r="146" spans="1:9" ht="15.75" x14ac:dyDescent="0.25">
      <c r="A146" s="2" t="s">
        <v>340</v>
      </c>
      <c r="B146" s="2" t="s">
        <v>1187</v>
      </c>
      <c r="C146" s="3">
        <v>2246</v>
      </c>
      <c r="D146" s="3">
        <v>4204</v>
      </c>
      <c r="E146" s="2" t="s">
        <v>1680</v>
      </c>
      <c r="F146" s="4" t="s">
        <v>273</v>
      </c>
      <c r="G146" s="4" t="s">
        <v>341</v>
      </c>
      <c r="H146" s="23"/>
      <c r="I146" s="23"/>
    </row>
    <row r="147" spans="1:9" ht="15.75" x14ac:dyDescent="0.25">
      <c r="A147" s="2" t="s">
        <v>342</v>
      </c>
      <c r="B147" s="2" t="s">
        <v>1187</v>
      </c>
      <c r="C147" s="3">
        <v>4314</v>
      </c>
      <c r="D147" s="3">
        <v>5647</v>
      </c>
      <c r="E147" s="2" t="s">
        <v>1677</v>
      </c>
      <c r="F147" s="4" t="s">
        <v>343</v>
      </c>
      <c r="G147" s="4" t="s">
        <v>344</v>
      </c>
      <c r="H147" s="23"/>
      <c r="I147" s="23"/>
    </row>
    <row r="148" spans="1:9" ht="15.75" x14ac:dyDescent="0.25">
      <c r="A148" s="2" t="s">
        <v>345</v>
      </c>
      <c r="B148" s="2" t="s">
        <v>1187</v>
      </c>
      <c r="C148" s="3">
        <v>6243</v>
      </c>
      <c r="D148" s="3">
        <v>5576</v>
      </c>
      <c r="E148" s="2" t="s">
        <v>1218</v>
      </c>
      <c r="F148" s="4" t="s">
        <v>346</v>
      </c>
      <c r="G148" s="4" t="s">
        <v>347</v>
      </c>
      <c r="H148" s="23"/>
      <c r="I148" s="23"/>
    </row>
    <row r="149" spans="1:9" ht="15.75" x14ac:dyDescent="0.25">
      <c r="A149" s="2" t="s">
        <v>348</v>
      </c>
      <c r="B149" s="2" t="s">
        <v>1187</v>
      </c>
      <c r="C149" s="3">
        <v>3554</v>
      </c>
      <c r="D149" s="3">
        <v>4023</v>
      </c>
      <c r="E149" s="2" t="s">
        <v>1218</v>
      </c>
      <c r="F149" s="4" t="s">
        <v>208</v>
      </c>
      <c r="G149" s="4" t="s">
        <v>349</v>
      </c>
      <c r="H149" s="23"/>
      <c r="I149" s="23"/>
    </row>
    <row r="150" spans="1:9" ht="15.75" x14ac:dyDescent="0.25">
      <c r="A150" s="2" t="s">
        <v>350</v>
      </c>
      <c r="B150" s="2" t="s">
        <v>1187</v>
      </c>
      <c r="C150" s="3">
        <v>3145</v>
      </c>
      <c r="D150" s="3">
        <v>5594</v>
      </c>
      <c r="E150" s="2" t="s">
        <v>70</v>
      </c>
      <c r="F150" s="4" t="s">
        <v>117</v>
      </c>
      <c r="G150" s="4" t="s">
        <v>351</v>
      </c>
      <c r="H150" s="23"/>
      <c r="I150" s="23"/>
    </row>
    <row r="151" spans="1:9" ht="15.75" x14ac:dyDescent="0.25">
      <c r="A151" s="2" t="s">
        <v>352</v>
      </c>
      <c r="B151" s="2" t="s">
        <v>1187</v>
      </c>
      <c r="C151" s="3">
        <v>3991</v>
      </c>
      <c r="D151" s="3">
        <v>6347</v>
      </c>
      <c r="E151" s="2" t="s">
        <v>22</v>
      </c>
      <c r="F151" s="4" t="s">
        <v>22</v>
      </c>
      <c r="G151" s="4" t="s">
        <v>353</v>
      </c>
      <c r="H151" s="23"/>
      <c r="I151" s="23"/>
    </row>
    <row r="152" spans="1:9" ht="15.75" x14ac:dyDescent="0.25">
      <c r="A152" s="2" t="s">
        <v>1123</v>
      </c>
      <c r="B152" s="2" t="s">
        <v>1187</v>
      </c>
      <c r="C152" s="3">
        <v>5050</v>
      </c>
      <c r="D152" s="3">
        <v>5450</v>
      </c>
      <c r="E152" s="2" t="s">
        <v>1677</v>
      </c>
      <c r="F152" s="4" t="s">
        <v>48</v>
      </c>
      <c r="G152" s="4" t="s">
        <v>1124</v>
      </c>
      <c r="H152" s="23"/>
      <c r="I152" s="23"/>
    </row>
    <row r="153" spans="1:9" ht="15.75" x14ac:dyDescent="0.25">
      <c r="A153" s="2" t="s">
        <v>354</v>
      </c>
      <c r="B153" s="2" t="s">
        <v>1187</v>
      </c>
      <c r="C153" s="3">
        <v>4001</v>
      </c>
      <c r="D153" s="3">
        <v>5331</v>
      </c>
      <c r="E153" s="2" t="s">
        <v>1199</v>
      </c>
      <c r="F153" s="4" t="s">
        <v>19</v>
      </c>
      <c r="G153" s="4" t="s">
        <v>355</v>
      </c>
      <c r="H153" s="23"/>
      <c r="I153" s="23"/>
    </row>
    <row r="154" spans="1:9" ht="15.75" x14ac:dyDescent="0.25">
      <c r="A154" s="2" t="s">
        <v>356</v>
      </c>
      <c r="B154" s="2" t="s">
        <v>1187</v>
      </c>
      <c r="C154" s="3">
        <v>978</v>
      </c>
      <c r="D154" s="3">
        <v>4734</v>
      </c>
      <c r="E154" s="2" t="s">
        <v>1218</v>
      </c>
      <c r="F154" s="4" t="s">
        <v>78</v>
      </c>
      <c r="G154" s="4" t="s">
        <v>357</v>
      </c>
      <c r="H154" s="23"/>
      <c r="I154" s="23"/>
    </row>
    <row r="155" spans="1:9" ht="15.75" x14ac:dyDescent="0.25">
      <c r="A155" s="2" t="s">
        <v>358</v>
      </c>
      <c r="B155" s="2" t="s">
        <v>1187</v>
      </c>
      <c r="C155" s="3">
        <v>2284</v>
      </c>
      <c r="D155" s="3">
        <v>3444</v>
      </c>
      <c r="E155" s="2" t="s">
        <v>1677</v>
      </c>
      <c r="F155" s="4" t="s">
        <v>359</v>
      </c>
      <c r="G155" s="4" t="s">
        <v>360</v>
      </c>
      <c r="H155" s="23"/>
      <c r="I155" s="23"/>
    </row>
    <row r="156" spans="1:9" ht="15.75" x14ac:dyDescent="0.25">
      <c r="A156" s="2" t="s">
        <v>361</v>
      </c>
      <c r="B156" s="2" t="s">
        <v>1187</v>
      </c>
      <c r="C156" s="3">
        <v>2357</v>
      </c>
      <c r="D156" s="3">
        <v>4398</v>
      </c>
      <c r="E156" s="2" t="s">
        <v>1218</v>
      </c>
      <c r="F156" s="4" t="s">
        <v>241</v>
      </c>
      <c r="G156" s="4" t="s">
        <v>362</v>
      </c>
      <c r="H156" s="23"/>
      <c r="I156" s="23"/>
    </row>
    <row r="157" spans="1:9" ht="15.75" x14ac:dyDescent="0.25">
      <c r="A157" s="2" t="s">
        <v>1152</v>
      </c>
      <c r="B157" s="2" t="s">
        <v>1187</v>
      </c>
      <c r="C157" s="3">
        <v>1890</v>
      </c>
      <c r="D157" s="3">
        <v>1079</v>
      </c>
      <c r="E157" s="2" t="s">
        <v>70</v>
      </c>
      <c r="F157" s="4" t="s">
        <v>71</v>
      </c>
      <c r="G157" s="4" t="s">
        <v>363</v>
      </c>
      <c r="H157" s="23"/>
      <c r="I157" s="23"/>
    </row>
    <row r="158" spans="1:9" ht="15.75" x14ac:dyDescent="0.25">
      <c r="A158" s="2" t="s">
        <v>1153</v>
      </c>
      <c r="B158" s="2" t="s">
        <v>1187</v>
      </c>
      <c r="C158" s="3">
        <v>3944</v>
      </c>
      <c r="D158" s="3">
        <v>1114</v>
      </c>
      <c r="E158" s="2" t="s">
        <v>70</v>
      </c>
      <c r="F158" s="4" t="s">
        <v>71</v>
      </c>
      <c r="G158" s="4" t="s">
        <v>364</v>
      </c>
      <c r="H158" s="23"/>
      <c r="I158" s="23"/>
    </row>
    <row r="159" spans="1:9" ht="15.75" x14ac:dyDescent="0.25">
      <c r="A159" s="2" t="s">
        <v>365</v>
      </c>
      <c r="B159" s="2" t="s">
        <v>1187</v>
      </c>
      <c r="C159" s="3">
        <v>5300</v>
      </c>
      <c r="D159" s="3">
        <v>2600</v>
      </c>
      <c r="E159" s="2" t="s">
        <v>1204</v>
      </c>
      <c r="F159" s="4" t="s">
        <v>16</v>
      </c>
      <c r="G159" s="4" t="s">
        <v>366</v>
      </c>
      <c r="H159" s="23"/>
      <c r="I159" s="23"/>
    </row>
    <row r="160" spans="1:9" ht="15.75" x14ac:dyDescent="0.25">
      <c r="A160" s="2" t="s">
        <v>367</v>
      </c>
      <c r="B160" s="2" t="s">
        <v>1187</v>
      </c>
      <c r="C160" s="3">
        <v>1809</v>
      </c>
      <c r="D160" s="3">
        <v>5458</v>
      </c>
      <c r="E160" s="2" t="s">
        <v>1218</v>
      </c>
      <c r="F160" s="4" t="s">
        <v>234</v>
      </c>
      <c r="G160" s="4" t="s">
        <v>368</v>
      </c>
      <c r="H160" s="23"/>
      <c r="I160" s="23"/>
    </row>
    <row r="161" spans="1:9" ht="15.75" x14ac:dyDescent="0.25">
      <c r="A161" s="2" t="s">
        <v>1154</v>
      </c>
      <c r="B161" s="2" t="s">
        <v>1187</v>
      </c>
      <c r="C161" s="3">
        <v>2184</v>
      </c>
      <c r="D161" s="3">
        <v>4473</v>
      </c>
      <c r="E161" s="2" t="s">
        <v>70</v>
      </c>
      <c r="F161" s="4" t="s">
        <v>369</v>
      </c>
      <c r="G161" s="4" t="s">
        <v>370</v>
      </c>
      <c r="H161" s="23"/>
      <c r="I161" s="23"/>
    </row>
    <row r="162" spans="1:9" ht="15.75" x14ac:dyDescent="0.25">
      <c r="A162" s="2" t="s">
        <v>1155</v>
      </c>
      <c r="B162" s="2" t="s">
        <v>1187</v>
      </c>
      <c r="C162" s="3">
        <v>369</v>
      </c>
      <c r="D162" s="3">
        <v>3703</v>
      </c>
      <c r="E162" s="2" t="s">
        <v>70</v>
      </c>
      <c r="F162" s="4" t="s">
        <v>369</v>
      </c>
      <c r="G162" s="4" t="s">
        <v>371</v>
      </c>
      <c r="H162" s="23"/>
      <c r="I162" s="23"/>
    </row>
    <row r="163" spans="1:9" ht="15.75" x14ac:dyDescent="0.25">
      <c r="A163" s="2" t="s">
        <v>1156</v>
      </c>
      <c r="B163" s="2" t="s">
        <v>1187</v>
      </c>
      <c r="C163" s="3">
        <v>2233</v>
      </c>
      <c r="D163" s="3">
        <v>4480</v>
      </c>
      <c r="E163" s="2" t="s">
        <v>70</v>
      </c>
      <c r="F163" s="4" t="s">
        <v>369</v>
      </c>
      <c r="G163" s="4" t="s">
        <v>372</v>
      </c>
      <c r="H163" s="23"/>
      <c r="I163" s="23"/>
    </row>
    <row r="164" spans="1:9" ht="15.75" x14ac:dyDescent="0.25">
      <c r="A164" s="2" t="s">
        <v>1157</v>
      </c>
      <c r="B164" s="2" t="s">
        <v>1187</v>
      </c>
      <c r="C164" s="3">
        <v>599</v>
      </c>
      <c r="D164" s="3">
        <v>4125</v>
      </c>
      <c r="E164" s="2" t="s">
        <v>70</v>
      </c>
      <c r="F164" s="4" t="s">
        <v>369</v>
      </c>
      <c r="G164" s="4" t="s">
        <v>373</v>
      </c>
      <c r="H164" s="23"/>
      <c r="I164" s="23"/>
    </row>
    <row r="165" spans="1:9" ht="15.75" x14ac:dyDescent="0.25">
      <c r="A165" s="2" t="s">
        <v>1158</v>
      </c>
      <c r="B165" s="2" t="s">
        <v>1187</v>
      </c>
      <c r="C165" s="3">
        <v>1529</v>
      </c>
      <c r="D165" s="3">
        <v>3914</v>
      </c>
      <c r="E165" s="2" t="s">
        <v>70</v>
      </c>
      <c r="F165" s="4" t="s">
        <v>132</v>
      </c>
      <c r="G165" s="4" t="s">
        <v>374</v>
      </c>
      <c r="H165" s="23"/>
      <c r="I165" s="23"/>
    </row>
    <row r="166" spans="1:9" ht="15.75" x14ac:dyDescent="0.25">
      <c r="A166" s="2" t="s">
        <v>1159</v>
      </c>
      <c r="B166" s="2" t="s">
        <v>1187</v>
      </c>
      <c r="C166" s="3">
        <v>534</v>
      </c>
      <c r="D166" s="3">
        <v>3671</v>
      </c>
      <c r="E166" s="2" t="s">
        <v>70</v>
      </c>
      <c r="F166" s="4" t="s">
        <v>369</v>
      </c>
      <c r="G166" s="4" t="s">
        <v>375</v>
      </c>
      <c r="H166" s="23"/>
      <c r="I166" s="23"/>
    </row>
    <row r="167" spans="1:9" ht="15.75" x14ac:dyDescent="0.25">
      <c r="A167" s="2" t="s">
        <v>376</v>
      </c>
      <c r="B167" s="2" t="s">
        <v>1187</v>
      </c>
      <c r="C167" s="3">
        <v>6205</v>
      </c>
      <c r="D167" s="3">
        <v>5375</v>
      </c>
      <c r="E167" s="2" t="s">
        <v>1218</v>
      </c>
      <c r="F167" s="4" t="s">
        <v>297</v>
      </c>
      <c r="G167" s="4" t="s">
        <v>377</v>
      </c>
      <c r="H167" s="23"/>
      <c r="I167" s="23"/>
    </row>
    <row r="168" spans="1:9" ht="15.75" x14ac:dyDescent="0.25">
      <c r="A168" s="2" t="s">
        <v>378</v>
      </c>
      <c r="B168" s="2" t="s">
        <v>1187</v>
      </c>
      <c r="C168" s="3">
        <v>775</v>
      </c>
      <c r="D168" s="3">
        <v>4763</v>
      </c>
      <c r="E168" s="2" t="s">
        <v>1218</v>
      </c>
      <c r="F168" s="4" t="s">
        <v>78</v>
      </c>
      <c r="G168" s="4" t="s">
        <v>379</v>
      </c>
      <c r="H168" s="23"/>
      <c r="I168" s="23"/>
    </row>
    <row r="169" spans="1:9" ht="15.75" x14ac:dyDescent="0.25">
      <c r="A169" s="2" t="s">
        <v>380</v>
      </c>
      <c r="B169" s="2" t="s">
        <v>1187</v>
      </c>
      <c r="C169" s="3">
        <v>1517</v>
      </c>
      <c r="D169" s="3">
        <v>5326</v>
      </c>
      <c r="E169" s="2" t="s">
        <v>1218</v>
      </c>
      <c r="F169" s="4" t="s">
        <v>229</v>
      </c>
      <c r="G169" s="4" t="s">
        <v>381</v>
      </c>
      <c r="H169" s="23"/>
      <c r="I169" s="23"/>
    </row>
    <row r="170" spans="1:9" ht="15.75" x14ac:dyDescent="0.25">
      <c r="A170" s="2" t="s">
        <v>382</v>
      </c>
      <c r="B170" s="2" t="s">
        <v>1187</v>
      </c>
      <c r="C170" s="3">
        <v>1481</v>
      </c>
      <c r="D170" s="3">
        <v>5270</v>
      </c>
      <c r="E170" s="2" t="s">
        <v>1218</v>
      </c>
      <c r="F170" s="4" t="s">
        <v>229</v>
      </c>
      <c r="G170" s="4" t="s">
        <v>383</v>
      </c>
      <c r="H170" s="23"/>
      <c r="I170" s="23"/>
    </row>
    <row r="171" spans="1:9" ht="15.75" x14ac:dyDescent="0.25">
      <c r="A171" s="2" t="s">
        <v>384</v>
      </c>
      <c r="B171" s="2" t="s">
        <v>1187</v>
      </c>
      <c r="C171" s="3">
        <v>2197</v>
      </c>
      <c r="D171" s="3">
        <v>4837</v>
      </c>
      <c r="E171" s="2" t="s">
        <v>1204</v>
      </c>
      <c r="F171" s="4" t="s">
        <v>16</v>
      </c>
      <c r="G171" s="4" t="s">
        <v>385</v>
      </c>
      <c r="H171" s="23"/>
      <c r="I171" s="23"/>
    </row>
    <row r="172" spans="1:9" ht="15.75" x14ac:dyDescent="0.25">
      <c r="A172" s="2" t="s">
        <v>386</v>
      </c>
      <c r="B172" s="2" t="s">
        <v>1187</v>
      </c>
      <c r="C172" s="3">
        <v>970</v>
      </c>
      <c r="D172" s="3">
        <v>5040</v>
      </c>
      <c r="E172" s="2" t="s">
        <v>9</v>
      </c>
      <c r="F172" s="4" t="s">
        <v>9</v>
      </c>
      <c r="G172" s="4" t="s">
        <v>387</v>
      </c>
      <c r="H172" s="23"/>
      <c r="I172" s="23"/>
    </row>
    <row r="173" spans="1:9" ht="15.75" x14ac:dyDescent="0.25">
      <c r="A173" s="2" t="s">
        <v>388</v>
      </c>
      <c r="B173" s="2" t="s">
        <v>1187</v>
      </c>
      <c r="C173" s="3">
        <v>2786</v>
      </c>
      <c r="D173" s="3">
        <v>5669</v>
      </c>
      <c r="E173" s="2" t="s">
        <v>1204</v>
      </c>
      <c r="F173" s="4" t="s">
        <v>68</v>
      </c>
      <c r="G173" s="4" t="s">
        <v>389</v>
      </c>
      <c r="H173" s="23"/>
      <c r="I173" s="23"/>
    </row>
    <row r="174" spans="1:9" ht="15.75" x14ac:dyDescent="0.25">
      <c r="A174" s="2" t="s">
        <v>1160</v>
      </c>
      <c r="B174" s="2" t="s">
        <v>1187</v>
      </c>
      <c r="C174" s="3">
        <v>2260</v>
      </c>
      <c r="D174" s="3">
        <v>4475</v>
      </c>
      <c r="E174" s="2" t="s">
        <v>70</v>
      </c>
      <c r="F174" s="4" t="s">
        <v>132</v>
      </c>
      <c r="G174" s="4" t="s">
        <v>390</v>
      </c>
      <c r="H174" s="23"/>
      <c r="I174" s="23"/>
    </row>
    <row r="175" spans="1:9" ht="15.75" x14ac:dyDescent="0.25">
      <c r="A175" s="2" t="s">
        <v>1161</v>
      </c>
      <c r="B175" s="2" t="s">
        <v>1187</v>
      </c>
      <c r="C175" s="3">
        <v>6350</v>
      </c>
      <c r="D175" s="3">
        <v>4473</v>
      </c>
      <c r="E175" s="2" t="s">
        <v>70</v>
      </c>
      <c r="F175" s="4" t="s">
        <v>369</v>
      </c>
      <c r="G175" s="4" t="s">
        <v>391</v>
      </c>
      <c r="H175" s="23"/>
      <c r="I175" s="23"/>
    </row>
    <row r="176" spans="1:9" ht="15.75" x14ac:dyDescent="0.25">
      <c r="A176" s="2" t="s">
        <v>1162</v>
      </c>
      <c r="B176" s="2" t="s">
        <v>1187</v>
      </c>
      <c r="C176" s="3">
        <v>4183</v>
      </c>
      <c r="D176" s="3">
        <v>6521</v>
      </c>
      <c r="E176" s="2" t="s">
        <v>70</v>
      </c>
      <c r="F176" s="4" t="s">
        <v>369</v>
      </c>
      <c r="G176" s="4" t="s">
        <v>392</v>
      </c>
      <c r="H176" s="23"/>
      <c r="I176" s="23"/>
    </row>
    <row r="177" spans="1:9" ht="15.75" x14ac:dyDescent="0.25">
      <c r="A177" s="2" t="s">
        <v>393</v>
      </c>
      <c r="B177" s="2" t="s">
        <v>1187</v>
      </c>
      <c r="C177" s="3">
        <v>6366</v>
      </c>
      <c r="D177" s="3">
        <v>4657</v>
      </c>
      <c r="E177" s="2" t="s">
        <v>1218</v>
      </c>
      <c r="F177" s="4" t="s">
        <v>62</v>
      </c>
      <c r="G177" s="4" t="s">
        <v>394</v>
      </c>
      <c r="H177" s="23"/>
      <c r="I177" s="23"/>
    </row>
    <row r="178" spans="1:9" ht="15.75" x14ac:dyDescent="0.25">
      <c r="A178" s="2" t="s">
        <v>395</v>
      </c>
      <c r="B178" s="2" t="s">
        <v>1187</v>
      </c>
      <c r="C178" s="3">
        <v>1031</v>
      </c>
      <c r="D178" s="3">
        <v>3745</v>
      </c>
      <c r="E178" s="2" t="s">
        <v>1218</v>
      </c>
      <c r="F178" s="4" t="s">
        <v>126</v>
      </c>
      <c r="G178" s="4" t="s">
        <v>396</v>
      </c>
      <c r="H178" s="23"/>
      <c r="I178" s="23"/>
    </row>
    <row r="179" spans="1:9" ht="15.75" x14ac:dyDescent="0.25">
      <c r="A179" s="2" t="s">
        <v>397</v>
      </c>
      <c r="B179" s="2" t="s">
        <v>1187</v>
      </c>
      <c r="C179" s="3">
        <v>4035</v>
      </c>
      <c r="D179" s="3">
        <v>882</v>
      </c>
      <c r="E179" s="2" t="s">
        <v>1218</v>
      </c>
      <c r="F179" s="4" t="s">
        <v>62</v>
      </c>
      <c r="G179" s="4" t="s">
        <v>398</v>
      </c>
      <c r="H179" s="23"/>
      <c r="I179" s="23"/>
    </row>
    <row r="180" spans="1:9" ht="15.75" x14ac:dyDescent="0.25">
      <c r="A180" s="2" t="s">
        <v>399</v>
      </c>
      <c r="B180" s="2" t="s">
        <v>1187</v>
      </c>
      <c r="C180" s="3">
        <v>5086</v>
      </c>
      <c r="D180" s="3">
        <v>2304</v>
      </c>
      <c r="E180" s="2" t="s">
        <v>1218</v>
      </c>
      <c r="F180" s="4" t="s">
        <v>400</v>
      </c>
      <c r="G180" s="4" t="s">
        <v>401</v>
      </c>
      <c r="H180" s="23"/>
      <c r="I180" s="23"/>
    </row>
    <row r="181" spans="1:9" ht="15.75" x14ac:dyDescent="0.25">
      <c r="A181" s="2" t="s">
        <v>1163</v>
      </c>
      <c r="B181" s="2" t="s">
        <v>1187</v>
      </c>
      <c r="C181" s="3">
        <v>4775</v>
      </c>
      <c r="D181" s="3">
        <v>5931</v>
      </c>
      <c r="E181" s="2" t="s">
        <v>70</v>
      </c>
      <c r="F181" s="4" t="s">
        <v>369</v>
      </c>
      <c r="G181" s="4" t="s">
        <v>402</v>
      </c>
      <c r="H181" s="23"/>
      <c r="I181" s="23"/>
    </row>
    <row r="182" spans="1:9" ht="15.75" x14ac:dyDescent="0.25">
      <c r="A182" s="2" t="s">
        <v>1164</v>
      </c>
      <c r="B182" s="2" t="s">
        <v>1187</v>
      </c>
      <c r="C182" s="3">
        <v>3615</v>
      </c>
      <c r="D182" s="3">
        <v>5671</v>
      </c>
      <c r="E182" s="2" t="s">
        <v>70</v>
      </c>
      <c r="F182" s="4" t="s">
        <v>369</v>
      </c>
      <c r="G182" s="4" t="s">
        <v>403</v>
      </c>
      <c r="H182" s="23"/>
      <c r="I182" s="23"/>
    </row>
    <row r="183" spans="1:9" ht="15.75" x14ac:dyDescent="0.25">
      <c r="A183" s="2" t="s">
        <v>404</v>
      </c>
      <c r="B183" s="2" t="s">
        <v>1187</v>
      </c>
      <c r="C183" s="3">
        <v>6497</v>
      </c>
      <c r="D183" s="3">
        <v>4730</v>
      </c>
      <c r="E183" s="2" t="s">
        <v>22</v>
      </c>
      <c r="F183" s="4" t="s">
        <v>22</v>
      </c>
      <c r="G183" s="4" t="s">
        <v>405</v>
      </c>
      <c r="H183" s="23"/>
      <c r="I183" s="23"/>
    </row>
    <row r="184" spans="1:9" ht="15.75" x14ac:dyDescent="0.25">
      <c r="A184" s="2" t="s">
        <v>1165</v>
      </c>
      <c r="B184" s="2" t="s">
        <v>1187</v>
      </c>
      <c r="C184" s="3">
        <v>2950</v>
      </c>
      <c r="D184" s="3">
        <v>4160</v>
      </c>
      <c r="E184" s="2" t="s">
        <v>70</v>
      </c>
      <c r="F184" s="4" t="s">
        <v>369</v>
      </c>
      <c r="G184" s="4" t="s">
        <v>406</v>
      </c>
      <c r="H184" s="23"/>
      <c r="I184" s="23"/>
    </row>
    <row r="185" spans="1:9" ht="15.75" x14ac:dyDescent="0.25">
      <c r="A185" s="2" t="s">
        <v>1166</v>
      </c>
      <c r="B185" s="2" t="s">
        <v>1187</v>
      </c>
      <c r="C185" s="3">
        <v>4290</v>
      </c>
      <c r="D185" s="3">
        <v>2372</v>
      </c>
      <c r="E185" s="2" t="s">
        <v>70</v>
      </c>
      <c r="F185" s="4" t="s">
        <v>132</v>
      </c>
      <c r="G185" s="4" t="s">
        <v>407</v>
      </c>
      <c r="H185" s="23"/>
      <c r="I185" s="23"/>
    </row>
    <row r="186" spans="1:9" ht="15.75" x14ac:dyDescent="0.25">
      <c r="A186" s="2" t="s">
        <v>1167</v>
      </c>
      <c r="B186" s="2" t="s">
        <v>1187</v>
      </c>
      <c r="C186" s="3">
        <v>2383</v>
      </c>
      <c r="D186" s="3">
        <v>4803</v>
      </c>
      <c r="E186" s="2" t="s">
        <v>70</v>
      </c>
      <c r="F186" s="4" t="s">
        <v>132</v>
      </c>
      <c r="G186" s="4" t="s">
        <v>408</v>
      </c>
      <c r="H186" s="23"/>
      <c r="I186" s="23"/>
    </row>
    <row r="187" spans="1:9" ht="15.75" x14ac:dyDescent="0.25">
      <c r="A187" s="2" t="s">
        <v>409</v>
      </c>
      <c r="B187" s="2" t="s">
        <v>1187</v>
      </c>
      <c r="C187" s="3">
        <v>4927</v>
      </c>
      <c r="D187" s="3">
        <v>2373</v>
      </c>
      <c r="E187" s="2" t="s">
        <v>1218</v>
      </c>
      <c r="F187" s="4" t="s">
        <v>400</v>
      </c>
      <c r="G187" s="4" t="s">
        <v>410</v>
      </c>
      <c r="H187" s="23"/>
      <c r="I187" s="23"/>
    </row>
    <row r="188" spans="1:9" ht="15.75" x14ac:dyDescent="0.25">
      <c r="A188" s="2" t="s">
        <v>411</v>
      </c>
      <c r="B188" s="2" t="s">
        <v>1187</v>
      </c>
      <c r="C188" s="3">
        <v>750</v>
      </c>
      <c r="D188" s="3">
        <v>4450</v>
      </c>
      <c r="E188" s="2" t="s">
        <v>1677</v>
      </c>
      <c r="F188" s="4" t="s">
        <v>222</v>
      </c>
      <c r="G188" s="4" t="s">
        <v>412</v>
      </c>
      <c r="H188" s="23"/>
      <c r="I188" s="23"/>
    </row>
    <row r="189" spans="1:9" ht="15.75" x14ac:dyDescent="0.25">
      <c r="A189" s="2" t="s">
        <v>413</v>
      </c>
      <c r="B189" s="2" t="s">
        <v>1187</v>
      </c>
      <c r="C189" s="3">
        <v>894</v>
      </c>
      <c r="D189" s="3">
        <v>4392</v>
      </c>
      <c r="E189" s="2" t="s">
        <v>1677</v>
      </c>
      <c r="F189" s="4" t="s">
        <v>108</v>
      </c>
      <c r="G189" s="4" t="s">
        <v>414</v>
      </c>
      <c r="H189" s="23"/>
      <c r="I189" s="23"/>
    </row>
    <row r="190" spans="1:9" ht="15.75" x14ac:dyDescent="0.25">
      <c r="A190" s="2" t="s">
        <v>415</v>
      </c>
      <c r="B190" s="2" t="s">
        <v>1187</v>
      </c>
      <c r="C190" s="3">
        <v>6790</v>
      </c>
      <c r="D190" s="3">
        <v>4902</v>
      </c>
      <c r="E190" s="2" t="s">
        <v>1218</v>
      </c>
      <c r="F190" s="4" t="s">
        <v>126</v>
      </c>
      <c r="G190" s="4" t="s">
        <v>416</v>
      </c>
      <c r="H190" s="23"/>
      <c r="I190" s="23"/>
    </row>
    <row r="191" spans="1:9" ht="15.75" x14ac:dyDescent="0.25">
      <c r="A191" s="2" t="s">
        <v>417</v>
      </c>
      <c r="B191" s="2" t="s">
        <v>1187</v>
      </c>
      <c r="C191" s="3">
        <v>2262</v>
      </c>
      <c r="D191" s="3">
        <v>4367</v>
      </c>
      <c r="E191" s="2" t="s">
        <v>1678</v>
      </c>
      <c r="F191" s="4" t="s">
        <v>135</v>
      </c>
      <c r="G191" s="4" t="s">
        <v>418</v>
      </c>
      <c r="H191" s="23"/>
      <c r="I191" s="23"/>
    </row>
    <row r="192" spans="1:9" ht="15.75" x14ac:dyDescent="0.25">
      <c r="A192" s="2" t="s">
        <v>419</v>
      </c>
      <c r="B192" s="2" t="s">
        <v>1187</v>
      </c>
      <c r="C192" s="3">
        <v>1044</v>
      </c>
      <c r="D192" s="3">
        <v>3840</v>
      </c>
      <c r="E192" s="2" t="s">
        <v>1218</v>
      </c>
      <c r="F192" s="4" t="s">
        <v>229</v>
      </c>
      <c r="G192" s="4" t="s">
        <v>420</v>
      </c>
      <c r="H192" s="23"/>
      <c r="I192" s="23"/>
    </row>
    <row r="193" spans="1:9" ht="15.75" x14ac:dyDescent="0.25">
      <c r="A193" s="2" t="s">
        <v>421</v>
      </c>
      <c r="B193" s="2" t="s">
        <v>1187</v>
      </c>
      <c r="C193" s="3">
        <v>1879</v>
      </c>
      <c r="D193" s="3">
        <v>3951</v>
      </c>
      <c r="E193" s="2" t="s">
        <v>1198</v>
      </c>
      <c r="F193" s="4" t="s">
        <v>143</v>
      </c>
      <c r="G193" s="4" t="s">
        <v>422</v>
      </c>
      <c r="H193" s="23"/>
      <c r="I193" s="23"/>
    </row>
    <row r="194" spans="1:9" ht="15.75" x14ac:dyDescent="0.25">
      <c r="A194" s="2" t="s">
        <v>423</v>
      </c>
      <c r="B194" s="2" t="s">
        <v>1187</v>
      </c>
      <c r="C194" s="3">
        <v>1988</v>
      </c>
      <c r="D194" s="3">
        <v>4722</v>
      </c>
      <c r="E194" s="2" t="s">
        <v>1218</v>
      </c>
      <c r="F194" s="4" t="s">
        <v>54</v>
      </c>
      <c r="G194" s="4" t="s">
        <v>424</v>
      </c>
      <c r="H194" s="23"/>
      <c r="I194" s="23"/>
    </row>
    <row r="195" spans="1:9" ht="15.75" x14ac:dyDescent="0.25">
      <c r="A195" s="2" t="s">
        <v>425</v>
      </c>
      <c r="B195" s="2" t="s">
        <v>1187</v>
      </c>
      <c r="C195" s="3">
        <v>372</v>
      </c>
      <c r="D195" s="3">
        <v>3392</v>
      </c>
      <c r="E195" s="2" t="s">
        <v>9</v>
      </c>
      <c r="F195" s="4" t="s">
        <v>9</v>
      </c>
      <c r="G195" s="4" t="s">
        <v>426</v>
      </c>
      <c r="H195" s="23"/>
      <c r="I195" s="23"/>
    </row>
    <row r="196" spans="1:9" ht="15.75" x14ac:dyDescent="0.25">
      <c r="A196" s="2" t="s">
        <v>427</v>
      </c>
      <c r="B196" s="2" t="s">
        <v>1187</v>
      </c>
      <c r="C196" s="3">
        <v>4117</v>
      </c>
      <c r="D196" s="3">
        <v>4209</v>
      </c>
      <c r="E196" s="2" t="s">
        <v>1204</v>
      </c>
      <c r="F196" s="4" t="s">
        <v>68</v>
      </c>
      <c r="G196" s="4" t="s">
        <v>428</v>
      </c>
      <c r="H196" s="23"/>
      <c r="I196" s="23"/>
    </row>
    <row r="197" spans="1:9" ht="15.75" x14ac:dyDescent="0.25">
      <c r="A197" s="2" t="s">
        <v>1128</v>
      </c>
      <c r="B197" s="2" t="s">
        <v>1187</v>
      </c>
      <c r="C197" s="3">
        <v>7138</v>
      </c>
      <c r="D197" s="3">
        <v>3825</v>
      </c>
      <c r="E197" s="2" t="s">
        <v>1218</v>
      </c>
      <c r="F197" s="4" t="s">
        <v>78</v>
      </c>
      <c r="G197" s="4" t="s">
        <v>1129</v>
      </c>
      <c r="H197" s="23"/>
      <c r="I197" s="23"/>
    </row>
    <row r="198" spans="1:9" ht="15.75" x14ac:dyDescent="0.25">
      <c r="A198" s="2" t="s">
        <v>429</v>
      </c>
      <c r="B198" s="2" t="s">
        <v>1187</v>
      </c>
      <c r="C198" s="3">
        <v>6109</v>
      </c>
      <c r="D198" s="3">
        <v>5534</v>
      </c>
      <c r="E198" s="2" t="s">
        <v>1218</v>
      </c>
      <c r="F198" s="4" t="s">
        <v>65</v>
      </c>
      <c r="G198" s="4" t="s">
        <v>430</v>
      </c>
      <c r="H198" s="23"/>
      <c r="I198" s="23"/>
    </row>
    <row r="199" spans="1:9" ht="15.75" x14ac:dyDescent="0.25">
      <c r="A199" s="2" t="s">
        <v>431</v>
      </c>
      <c r="B199" s="2" t="s">
        <v>1187</v>
      </c>
      <c r="C199" s="3">
        <v>4092</v>
      </c>
      <c r="D199" s="3">
        <v>3188</v>
      </c>
      <c r="E199" s="2" t="s">
        <v>1218</v>
      </c>
      <c r="F199" s="4" t="s">
        <v>297</v>
      </c>
      <c r="G199" s="4" t="s">
        <v>432</v>
      </c>
      <c r="H199" s="23"/>
      <c r="I199" s="23"/>
    </row>
    <row r="200" spans="1:9" ht="15.75" x14ac:dyDescent="0.25">
      <c r="A200" s="2" t="s">
        <v>433</v>
      </c>
      <c r="B200" s="2" t="s">
        <v>1187</v>
      </c>
      <c r="C200" s="3">
        <v>6154</v>
      </c>
      <c r="D200" s="3">
        <v>5643</v>
      </c>
      <c r="E200" s="2" t="s">
        <v>1218</v>
      </c>
      <c r="F200" s="4" t="s">
        <v>434</v>
      </c>
      <c r="G200" s="4" t="s">
        <v>435</v>
      </c>
      <c r="H200" s="23"/>
      <c r="I200" s="23"/>
    </row>
    <row r="201" spans="1:9" ht="15.75" x14ac:dyDescent="0.25">
      <c r="A201" s="5" t="s">
        <v>1131</v>
      </c>
      <c r="B201" s="2" t="s">
        <v>1187</v>
      </c>
      <c r="C201" s="3">
        <v>1316</v>
      </c>
      <c r="D201" s="3">
        <v>3051</v>
      </c>
      <c r="E201" s="2" t="s">
        <v>70</v>
      </c>
      <c r="F201" s="4" t="s">
        <v>369</v>
      </c>
      <c r="G201" s="4" t="s">
        <v>1683</v>
      </c>
      <c r="H201" s="23"/>
      <c r="I201" s="23"/>
    </row>
    <row r="202" spans="1:9" ht="15.75" x14ac:dyDescent="0.25">
      <c r="A202" s="2" t="s">
        <v>436</v>
      </c>
      <c r="B202" s="2" t="s">
        <v>1187</v>
      </c>
      <c r="C202" s="3">
        <v>2433</v>
      </c>
      <c r="D202" s="3">
        <v>6000</v>
      </c>
      <c r="E202" s="2" t="s">
        <v>9</v>
      </c>
      <c r="F202" s="4" t="s">
        <v>9</v>
      </c>
      <c r="G202" s="4" t="s">
        <v>437</v>
      </c>
      <c r="H202" s="23"/>
      <c r="I202" s="23"/>
    </row>
    <row r="203" spans="1:9" ht="15.75" x14ac:dyDescent="0.25">
      <c r="A203" s="2" t="s">
        <v>438</v>
      </c>
      <c r="B203" s="2" t="s">
        <v>1187</v>
      </c>
      <c r="C203" s="3">
        <v>3843</v>
      </c>
      <c r="D203" s="3">
        <v>4930</v>
      </c>
      <c r="E203" s="2" t="s">
        <v>1218</v>
      </c>
      <c r="F203" s="4" t="s">
        <v>439</v>
      </c>
      <c r="G203" s="4" t="s">
        <v>440</v>
      </c>
      <c r="H203" s="23"/>
      <c r="I203" s="23"/>
    </row>
    <row r="204" spans="1:9" ht="15.75" x14ac:dyDescent="0.25">
      <c r="A204" s="2" t="s">
        <v>441</v>
      </c>
      <c r="B204" s="2" t="s">
        <v>1187</v>
      </c>
      <c r="C204" s="3">
        <v>744</v>
      </c>
      <c r="D204" s="3">
        <v>2840</v>
      </c>
      <c r="E204" s="2" t="s">
        <v>1197</v>
      </c>
      <c r="F204" s="4" t="s">
        <v>442</v>
      </c>
      <c r="G204" s="4" t="s">
        <v>443</v>
      </c>
      <c r="H204" s="23"/>
      <c r="I204" s="23"/>
    </row>
    <row r="205" spans="1:9" ht="15.75" x14ac:dyDescent="0.25">
      <c r="A205" s="2" t="s">
        <v>444</v>
      </c>
      <c r="B205" s="2" t="s">
        <v>1187</v>
      </c>
      <c r="C205" s="3">
        <v>4836</v>
      </c>
      <c r="D205" s="3">
        <v>3920</v>
      </c>
      <c r="E205" s="2" t="s">
        <v>1677</v>
      </c>
      <c r="F205" s="4" t="s">
        <v>445</v>
      </c>
      <c r="G205" s="4" t="s">
        <v>446</v>
      </c>
      <c r="H205" s="23"/>
      <c r="I205" s="23"/>
    </row>
    <row r="206" spans="1:9" ht="15.75" x14ac:dyDescent="0.25">
      <c r="A206" s="2" t="s">
        <v>1168</v>
      </c>
      <c r="B206" s="2" t="s">
        <v>1187</v>
      </c>
      <c r="C206" s="3">
        <v>1398</v>
      </c>
      <c r="D206" s="3">
        <v>3718</v>
      </c>
      <c r="E206" s="2" t="s">
        <v>1218</v>
      </c>
      <c r="F206" s="4" t="s">
        <v>57</v>
      </c>
      <c r="G206" s="4" t="s">
        <v>447</v>
      </c>
      <c r="H206" s="23"/>
      <c r="I206" s="23"/>
    </row>
    <row r="207" spans="1:9" ht="15.75" x14ac:dyDescent="0.25">
      <c r="A207" s="2" t="s">
        <v>448</v>
      </c>
      <c r="B207" s="2" t="s">
        <v>1187</v>
      </c>
      <c r="C207" s="3">
        <v>2292</v>
      </c>
      <c r="D207" s="3">
        <v>1146</v>
      </c>
      <c r="E207" s="2" t="s">
        <v>1218</v>
      </c>
      <c r="F207" s="4" t="s">
        <v>449</v>
      </c>
      <c r="G207" s="4" t="s">
        <v>450</v>
      </c>
      <c r="H207" s="23"/>
      <c r="I207" s="23"/>
    </row>
    <row r="208" spans="1:9" ht="15.75" x14ac:dyDescent="0.25">
      <c r="A208" s="2" t="s">
        <v>451</v>
      </c>
      <c r="B208" s="2" t="s">
        <v>1187</v>
      </c>
      <c r="C208" s="3">
        <v>4807</v>
      </c>
      <c r="D208" s="3">
        <v>5940</v>
      </c>
      <c r="E208" s="2" t="s">
        <v>1218</v>
      </c>
      <c r="F208" s="4" t="s">
        <v>30</v>
      </c>
      <c r="G208" s="4" t="s">
        <v>452</v>
      </c>
      <c r="H208" s="23"/>
      <c r="I208" s="23"/>
    </row>
    <row r="209" spans="1:9" ht="15.75" x14ac:dyDescent="0.25">
      <c r="A209" s="2" t="s">
        <v>453</v>
      </c>
      <c r="B209" s="2" t="s">
        <v>1187</v>
      </c>
      <c r="C209" s="3">
        <v>1102</v>
      </c>
      <c r="D209" s="3">
        <v>5157</v>
      </c>
      <c r="E209" s="2" t="s">
        <v>1677</v>
      </c>
      <c r="F209" s="4" t="s">
        <v>454</v>
      </c>
      <c r="G209" s="4" t="s">
        <v>455</v>
      </c>
      <c r="H209" s="23"/>
      <c r="I209" s="23"/>
    </row>
    <row r="210" spans="1:9" ht="15.75" x14ac:dyDescent="0.25">
      <c r="A210" s="2" t="s">
        <v>456</v>
      </c>
      <c r="B210" s="2" t="s">
        <v>1187</v>
      </c>
      <c r="C210" s="3">
        <v>3400</v>
      </c>
      <c r="D210" s="3">
        <v>3795</v>
      </c>
      <c r="E210" s="2" t="s">
        <v>1677</v>
      </c>
      <c r="F210" s="4" t="s">
        <v>33</v>
      </c>
      <c r="G210" s="4" t="s">
        <v>457</v>
      </c>
      <c r="H210" s="23"/>
      <c r="I210" s="23"/>
    </row>
    <row r="211" spans="1:9" ht="15.75" x14ac:dyDescent="0.25">
      <c r="A211" s="2" t="s">
        <v>458</v>
      </c>
      <c r="B211" s="2" t="s">
        <v>1187</v>
      </c>
      <c r="C211" s="3">
        <v>464</v>
      </c>
      <c r="D211" s="3">
        <v>2735</v>
      </c>
      <c r="E211" s="2" t="s">
        <v>1218</v>
      </c>
      <c r="F211" s="4" t="s">
        <v>30</v>
      </c>
      <c r="G211" s="4" t="s">
        <v>459</v>
      </c>
      <c r="H211" s="23"/>
      <c r="I211" s="23"/>
    </row>
    <row r="212" spans="1:9" ht="15.75" x14ac:dyDescent="0.25">
      <c r="A212" s="2" t="s">
        <v>460</v>
      </c>
      <c r="B212" s="2" t="s">
        <v>1187</v>
      </c>
      <c r="C212" s="3">
        <v>856</v>
      </c>
      <c r="D212" s="3">
        <v>3292</v>
      </c>
      <c r="E212" s="2" t="s">
        <v>1218</v>
      </c>
      <c r="F212" s="4" t="s">
        <v>461</v>
      </c>
      <c r="G212" s="4" t="s">
        <v>462</v>
      </c>
      <c r="H212" s="23"/>
      <c r="I212" s="23"/>
    </row>
    <row r="213" spans="1:9" ht="15.75" x14ac:dyDescent="0.25">
      <c r="A213" s="2" t="s">
        <v>463</v>
      </c>
      <c r="B213" s="2" t="s">
        <v>1187</v>
      </c>
      <c r="C213" s="3">
        <v>705</v>
      </c>
      <c r="D213" s="3">
        <v>2737</v>
      </c>
      <c r="E213" s="2" t="s">
        <v>1218</v>
      </c>
      <c r="F213" s="4" t="s">
        <v>449</v>
      </c>
      <c r="G213" s="4" t="s">
        <v>464</v>
      </c>
      <c r="H213" s="23"/>
      <c r="I213" s="23"/>
    </row>
    <row r="214" spans="1:9" ht="15.75" x14ac:dyDescent="0.25">
      <c r="A214" s="2" t="s">
        <v>465</v>
      </c>
      <c r="B214" s="2" t="s">
        <v>1187</v>
      </c>
      <c r="C214" s="3">
        <v>4743</v>
      </c>
      <c r="D214" s="3">
        <v>6167</v>
      </c>
      <c r="E214" s="2" t="s">
        <v>1678</v>
      </c>
      <c r="F214" s="4" t="s">
        <v>238</v>
      </c>
      <c r="G214" s="4" t="s">
        <v>466</v>
      </c>
      <c r="H214" s="23"/>
      <c r="I214" s="23"/>
    </row>
    <row r="215" spans="1:9" ht="15.75" x14ac:dyDescent="0.25">
      <c r="A215" s="2" t="s">
        <v>467</v>
      </c>
      <c r="B215" s="2" t="s">
        <v>1187</v>
      </c>
      <c r="C215" s="3">
        <v>3566</v>
      </c>
      <c r="D215" s="3">
        <v>5448</v>
      </c>
      <c r="E215" s="2" t="s">
        <v>1204</v>
      </c>
      <c r="F215" s="4" t="s">
        <v>16</v>
      </c>
      <c r="G215" s="4" t="s">
        <v>468</v>
      </c>
      <c r="H215" s="23"/>
      <c r="I215" s="23"/>
    </row>
    <row r="216" spans="1:9" ht="15.75" x14ac:dyDescent="0.25">
      <c r="A216" s="2" t="s">
        <v>469</v>
      </c>
      <c r="B216" s="2" t="s">
        <v>1187</v>
      </c>
      <c r="C216" s="3">
        <v>444</v>
      </c>
      <c r="D216" s="3">
        <v>3973</v>
      </c>
      <c r="E216" s="2" t="s">
        <v>1677</v>
      </c>
      <c r="F216" s="4" t="s">
        <v>201</v>
      </c>
      <c r="G216" s="4" t="s">
        <v>470</v>
      </c>
      <c r="H216" s="23"/>
      <c r="I216" s="23"/>
    </row>
    <row r="217" spans="1:9" ht="15.75" x14ac:dyDescent="0.25">
      <c r="A217" s="2" t="s">
        <v>471</v>
      </c>
      <c r="B217" s="2" t="s">
        <v>1187</v>
      </c>
      <c r="C217" s="3">
        <v>737</v>
      </c>
      <c r="D217" s="3">
        <v>2761</v>
      </c>
      <c r="E217" s="2" t="s">
        <v>1218</v>
      </c>
      <c r="F217" s="4" t="s">
        <v>472</v>
      </c>
      <c r="G217" s="4" t="s">
        <v>473</v>
      </c>
      <c r="H217" s="23"/>
      <c r="I217" s="23"/>
    </row>
    <row r="218" spans="1:9" ht="15.75" x14ac:dyDescent="0.25">
      <c r="A218" s="2" t="s">
        <v>474</v>
      </c>
      <c r="B218" s="2" t="s">
        <v>1187</v>
      </c>
      <c r="C218" s="3">
        <v>5828</v>
      </c>
      <c r="D218" s="3">
        <v>4337</v>
      </c>
      <c r="E218" s="2" t="s">
        <v>1677</v>
      </c>
      <c r="F218" s="4" t="s">
        <v>475</v>
      </c>
      <c r="G218" s="4" t="s">
        <v>476</v>
      </c>
      <c r="H218" s="23"/>
      <c r="I218" s="23"/>
    </row>
    <row r="219" spans="1:9" ht="15.75" x14ac:dyDescent="0.25">
      <c r="A219" s="2" t="s">
        <v>477</v>
      </c>
      <c r="B219" s="2" t="s">
        <v>1187</v>
      </c>
      <c r="C219" s="3">
        <v>4928</v>
      </c>
      <c r="D219" s="3">
        <v>5416</v>
      </c>
      <c r="E219" s="2" t="s">
        <v>1218</v>
      </c>
      <c r="F219" s="4" t="s">
        <v>478</v>
      </c>
      <c r="G219" s="4" t="s">
        <v>479</v>
      </c>
      <c r="H219" s="23"/>
      <c r="I219" s="23"/>
    </row>
    <row r="220" spans="1:9" ht="15.75" x14ac:dyDescent="0.25">
      <c r="A220" s="2" t="s">
        <v>480</v>
      </c>
      <c r="B220" s="2" t="s">
        <v>1187</v>
      </c>
      <c r="C220" s="3">
        <v>4816</v>
      </c>
      <c r="D220" s="3">
        <v>5993</v>
      </c>
      <c r="E220" s="2" t="s">
        <v>1199</v>
      </c>
      <c r="F220" s="4" t="s">
        <v>19</v>
      </c>
      <c r="G220" s="4" t="s">
        <v>481</v>
      </c>
      <c r="H220" s="23"/>
      <c r="I220" s="23"/>
    </row>
    <row r="221" spans="1:9" ht="15.75" x14ac:dyDescent="0.25">
      <c r="A221" s="2" t="s">
        <v>482</v>
      </c>
      <c r="B221" s="2" t="s">
        <v>1187</v>
      </c>
      <c r="C221" s="3">
        <v>1470</v>
      </c>
      <c r="D221" s="3">
        <v>5363</v>
      </c>
      <c r="E221" s="2" t="s">
        <v>1218</v>
      </c>
      <c r="F221" s="4" t="s">
        <v>51</v>
      </c>
      <c r="G221" s="4" t="s">
        <v>483</v>
      </c>
      <c r="H221" s="23"/>
      <c r="I221" s="23"/>
    </row>
    <row r="222" spans="1:9" ht="15.75" x14ac:dyDescent="0.25">
      <c r="A222" s="2" t="s">
        <v>484</v>
      </c>
      <c r="B222" s="2" t="s">
        <v>1187</v>
      </c>
      <c r="C222" s="3">
        <v>5246</v>
      </c>
      <c r="D222" s="3">
        <v>3465</v>
      </c>
      <c r="E222" s="2" t="s">
        <v>22</v>
      </c>
      <c r="F222" s="4" t="s">
        <v>22</v>
      </c>
      <c r="G222" s="4" t="s">
        <v>485</v>
      </c>
      <c r="H222" s="23"/>
      <c r="I222" s="23"/>
    </row>
    <row r="223" spans="1:9" ht="15.75" x14ac:dyDescent="0.25">
      <c r="A223" s="2" t="s">
        <v>484</v>
      </c>
      <c r="B223" s="2" t="s">
        <v>1187</v>
      </c>
      <c r="C223" s="3">
        <v>5232</v>
      </c>
      <c r="D223" s="3">
        <v>3467</v>
      </c>
      <c r="E223" s="2" t="s">
        <v>1679</v>
      </c>
      <c r="F223" s="4" t="s">
        <v>769</v>
      </c>
      <c r="G223" s="4" t="s">
        <v>485</v>
      </c>
      <c r="H223" s="23"/>
      <c r="I223" s="23"/>
    </row>
    <row r="224" spans="1:9" ht="15.75" x14ac:dyDescent="0.25">
      <c r="A224" s="2" t="s">
        <v>486</v>
      </c>
      <c r="B224" s="2" t="s">
        <v>1187</v>
      </c>
      <c r="C224" s="3">
        <v>5990</v>
      </c>
      <c r="D224" s="3">
        <v>5266</v>
      </c>
      <c r="E224" s="2" t="s">
        <v>1677</v>
      </c>
      <c r="F224" s="4" t="s">
        <v>487</v>
      </c>
      <c r="G224" s="4" t="s">
        <v>488</v>
      </c>
      <c r="H224" s="23"/>
      <c r="I224" s="23"/>
    </row>
    <row r="225" spans="1:9" ht="15.75" x14ac:dyDescent="0.25">
      <c r="A225" s="2" t="s">
        <v>489</v>
      </c>
      <c r="B225" s="2" t="s">
        <v>1187</v>
      </c>
      <c r="C225" s="3">
        <v>3284</v>
      </c>
      <c r="D225" s="3">
        <v>3858</v>
      </c>
      <c r="E225" s="2" t="s">
        <v>1218</v>
      </c>
      <c r="F225" s="4" t="s">
        <v>490</v>
      </c>
      <c r="G225" s="4" t="s">
        <v>491</v>
      </c>
      <c r="H225" s="23"/>
      <c r="I225" s="23"/>
    </row>
    <row r="226" spans="1:9" ht="15.75" x14ac:dyDescent="0.25">
      <c r="A226" s="2" t="s">
        <v>492</v>
      </c>
      <c r="B226" s="2" t="s">
        <v>1187</v>
      </c>
      <c r="C226" s="3">
        <v>3988</v>
      </c>
      <c r="D226" s="3">
        <v>4333</v>
      </c>
      <c r="E226" s="2" t="s">
        <v>1204</v>
      </c>
      <c r="F226" s="4" t="s">
        <v>68</v>
      </c>
      <c r="G226" s="4" t="s">
        <v>493</v>
      </c>
      <c r="H226" s="23"/>
      <c r="I226" s="23"/>
    </row>
    <row r="227" spans="1:9" ht="15.75" x14ac:dyDescent="0.25">
      <c r="A227" s="2" t="s">
        <v>494</v>
      </c>
      <c r="B227" s="2" t="s">
        <v>1187</v>
      </c>
      <c r="C227" s="3">
        <v>2253</v>
      </c>
      <c r="D227" s="3">
        <v>4773</v>
      </c>
      <c r="E227" s="2" t="s">
        <v>1218</v>
      </c>
      <c r="F227" s="4" t="s">
        <v>198</v>
      </c>
      <c r="G227" s="4" t="s">
        <v>495</v>
      </c>
      <c r="H227" s="23"/>
      <c r="I227" s="23"/>
    </row>
    <row r="228" spans="1:9" ht="15.75" x14ac:dyDescent="0.25">
      <c r="A228" s="2" t="s">
        <v>496</v>
      </c>
      <c r="B228" s="2" t="s">
        <v>1187</v>
      </c>
      <c r="C228" s="3">
        <v>3890</v>
      </c>
      <c r="D228" s="3">
        <v>3987</v>
      </c>
      <c r="E228" s="2" t="s">
        <v>1680</v>
      </c>
      <c r="F228" s="4" t="s">
        <v>273</v>
      </c>
      <c r="G228" s="4" t="s">
        <v>497</v>
      </c>
      <c r="H228" s="23"/>
      <c r="I228" s="23"/>
    </row>
    <row r="229" spans="1:9" ht="15.75" x14ac:dyDescent="0.25">
      <c r="A229" s="2" t="s">
        <v>498</v>
      </c>
      <c r="B229" s="2" t="s">
        <v>1187</v>
      </c>
      <c r="C229" s="3">
        <v>2253</v>
      </c>
      <c r="D229" s="3">
        <v>1044</v>
      </c>
      <c r="E229" s="2" t="s">
        <v>1218</v>
      </c>
      <c r="F229" s="4" t="s">
        <v>229</v>
      </c>
      <c r="G229" s="4" t="s">
        <v>499</v>
      </c>
      <c r="H229" s="23"/>
      <c r="I229" s="23"/>
    </row>
    <row r="230" spans="1:9" ht="15.75" x14ac:dyDescent="0.25">
      <c r="A230" s="2" t="s">
        <v>500</v>
      </c>
      <c r="B230" s="2" t="s">
        <v>1187</v>
      </c>
      <c r="C230" s="3">
        <v>3841</v>
      </c>
      <c r="D230" s="3">
        <v>5149</v>
      </c>
      <c r="E230" s="2" t="s">
        <v>1218</v>
      </c>
      <c r="F230" s="4" t="s">
        <v>241</v>
      </c>
      <c r="G230" s="4" t="s">
        <v>501</v>
      </c>
      <c r="H230" s="23"/>
      <c r="I230" s="23"/>
    </row>
    <row r="231" spans="1:9" ht="15.75" x14ac:dyDescent="0.25">
      <c r="A231" s="2" t="s">
        <v>502</v>
      </c>
      <c r="B231" s="2" t="s">
        <v>1187</v>
      </c>
      <c r="C231" s="3">
        <v>3789</v>
      </c>
      <c r="D231" s="3">
        <v>6147</v>
      </c>
      <c r="E231" s="2" t="s">
        <v>1218</v>
      </c>
      <c r="F231" s="4" t="s">
        <v>241</v>
      </c>
      <c r="G231" s="4" t="s">
        <v>503</v>
      </c>
      <c r="H231" s="23"/>
      <c r="I231" s="23"/>
    </row>
    <row r="232" spans="1:9" ht="15.75" x14ac:dyDescent="0.25">
      <c r="A232" s="2" t="s">
        <v>504</v>
      </c>
      <c r="B232" s="2" t="s">
        <v>1187</v>
      </c>
      <c r="C232" s="3">
        <v>3822</v>
      </c>
      <c r="D232" s="3">
        <v>6111</v>
      </c>
      <c r="E232" s="2" t="s">
        <v>1218</v>
      </c>
      <c r="F232" s="4" t="s">
        <v>241</v>
      </c>
      <c r="G232" s="4" t="s">
        <v>505</v>
      </c>
      <c r="H232" s="23"/>
      <c r="I232" s="23"/>
    </row>
    <row r="233" spans="1:9" ht="15.75" x14ac:dyDescent="0.25">
      <c r="A233" s="2" t="s">
        <v>506</v>
      </c>
      <c r="B233" s="2" t="s">
        <v>1187</v>
      </c>
      <c r="C233" s="3">
        <v>2687</v>
      </c>
      <c r="D233" s="3">
        <v>1306</v>
      </c>
      <c r="E233" s="2" t="s">
        <v>70</v>
      </c>
      <c r="F233" s="4" t="s">
        <v>71</v>
      </c>
      <c r="G233" s="4" t="s">
        <v>507</v>
      </c>
      <c r="H233" s="23"/>
      <c r="I233" s="23"/>
    </row>
    <row r="234" spans="1:9" ht="15.75" x14ac:dyDescent="0.25">
      <c r="A234" s="2" t="s">
        <v>508</v>
      </c>
      <c r="B234" s="2" t="s">
        <v>1187</v>
      </c>
      <c r="C234" s="3">
        <v>2316</v>
      </c>
      <c r="D234" s="3">
        <v>4450</v>
      </c>
      <c r="E234" s="2" t="s">
        <v>1218</v>
      </c>
      <c r="F234" s="4" t="s">
        <v>306</v>
      </c>
      <c r="G234" s="4" t="s">
        <v>509</v>
      </c>
      <c r="H234" s="23"/>
      <c r="I234" s="23"/>
    </row>
    <row r="235" spans="1:9" ht="15.75" x14ac:dyDescent="0.25">
      <c r="A235" s="2" t="s">
        <v>510</v>
      </c>
      <c r="B235" s="2" t="s">
        <v>1187</v>
      </c>
      <c r="C235" s="3">
        <v>788</v>
      </c>
      <c r="D235" s="3">
        <v>3355</v>
      </c>
      <c r="E235" s="2" t="s">
        <v>1218</v>
      </c>
      <c r="F235" s="4" t="s">
        <v>229</v>
      </c>
      <c r="G235" s="4" t="s">
        <v>511</v>
      </c>
      <c r="H235" s="23"/>
      <c r="I235" s="23"/>
    </row>
    <row r="236" spans="1:9" ht="15.75" x14ac:dyDescent="0.25">
      <c r="A236" s="2" t="s">
        <v>512</v>
      </c>
      <c r="B236" s="2" t="s">
        <v>1187</v>
      </c>
      <c r="C236" s="3">
        <v>835</v>
      </c>
      <c r="D236" s="3">
        <v>2787</v>
      </c>
      <c r="E236" s="2" t="s">
        <v>1218</v>
      </c>
      <c r="F236" s="4" t="s">
        <v>297</v>
      </c>
      <c r="G236" s="4" t="s">
        <v>513</v>
      </c>
      <c r="H236" s="23"/>
      <c r="I236" s="23"/>
    </row>
    <row r="237" spans="1:9" ht="15.75" x14ac:dyDescent="0.25">
      <c r="A237" s="2" t="s">
        <v>514</v>
      </c>
      <c r="B237" s="2" t="s">
        <v>1187</v>
      </c>
      <c r="C237" s="3">
        <v>409</v>
      </c>
      <c r="D237" s="3">
        <v>3827</v>
      </c>
      <c r="E237" s="2" t="s">
        <v>1218</v>
      </c>
      <c r="F237" s="4" t="s">
        <v>306</v>
      </c>
      <c r="G237" s="4" t="s">
        <v>515</v>
      </c>
      <c r="H237" s="23"/>
      <c r="I237" s="23"/>
    </row>
    <row r="238" spans="1:9" ht="15.75" x14ac:dyDescent="0.25">
      <c r="A238" s="2" t="s">
        <v>516</v>
      </c>
      <c r="B238" s="2" t="s">
        <v>1187</v>
      </c>
      <c r="C238" s="3">
        <v>3678</v>
      </c>
      <c r="D238" s="3">
        <v>5847</v>
      </c>
      <c r="E238" s="2" t="s">
        <v>1218</v>
      </c>
      <c r="F238" s="4" t="s">
        <v>208</v>
      </c>
      <c r="G238" s="4" t="s">
        <v>517</v>
      </c>
      <c r="H238" s="23"/>
      <c r="I238" s="23"/>
    </row>
    <row r="239" spans="1:9" ht="15.75" x14ac:dyDescent="0.25">
      <c r="A239" s="2" t="s">
        <v>518</v>
      </c>
      <c r="B239" s="2" t="s">
        <v>1187</v>
      </c>
      <c r="C239" s="3">
        <v>6831</v>
      </c>
      <c r="D239" s="3">
        <v>4978</v>
      </c>
      <c r="E239" s="2" t="s">
        <v>1218</v>
      </c>
      <c r="F239" s="4" t="s">
        <v>461</v>
      </c>
      <c r="G239" s="4" t="s">
        <v>519</v>
      </c>
      <c r="H239" s="23"/>
      <c r="I239" s="23"/>
    </row>
    <row r="240" spans="1:9" ht="15.75" x14ac:dyDescent="0.25">
      <c r="A240" s="2" t="s">
        <v>520</v>
      </c>
      <c r="B240" s="2" t="s">
        <v>1187</v>
      </c>
      <c r="C240" s="3">
        <v>3887</v>
      </c>
      <c r="D240" s="3">
        <v>4951</v>
      </c>
      <c r="E240" s="2" t="s">
        <v>70</v>
      </c>
      <c r="F240" s="4" t="s">
        <v>117</v>
      </c>
      <c r="G240" s="4" t="s">
        <v>521</v>
      </c>
      <c r="H240" s="23"/>
      <c r="I240" s="23"/>
    </row>
    <row r="241" spans="1:9" ht="15.75" x14ac:dyDescent="0.25">
      <c r="A241" s="2" t="s">
        <v>522</v>
      </c>
      <c r="B241" s="2" t="s">
        <v>1187</v>
      </c>
      <c r="C241" s="3">
        <v>3179</v>
      </c>
      <c r="D241" s="3">
        <v>3906</v>
      </c>
      <c r="E241" s="2" t="s">
        <v>1218</v>
      </c>
      <c r="F241" s="4" t="s">
        <v>62</v>
      </c>
      <c r="G241" s="4" t="s">
        <v>523</v>
      </c>
      <c r="H241" s="23"/>
      <c r="I241" s="23"/>
    </row>
    <row r="242" spans="1:9" ht="15.75" x14ac:dyDescent="0.25">
      <c r="A242" s="2" t="s">
        <v>524</v>
      </c>
      <c r="B242" s="2" t="s">
        <v>1187</v>
      </c>
      <c r="C242" s="3">
        <v>3491</v>
      </c>
      <c r="D242" s="3">
        <v>5429</v>
      </c>
      <c r="E242" s="2" t="s">
        <v>9</v>
      </c>
      <c r="F242" s="4" t="s">
        <v>9</v>
      </c>
      <c r="G242" s="4" t="s">
        <v>525</v>
      </c>
      <c r="H242" s="23"/>
      <c r="I242" s="23"/>
    </row>
    <row r="243" spans="1:9" ht="15.75" x14ac:dyDescent="0.25">
      <c r="A243" s="2" t="s">
        <v>526</v>
      </c>
      <c r="B243" s="2" t="s">
        <v>1187</v>
      </c>
      <c r="C243" s="3">
        <v>622</v>
      </c>
      <c r="D243" s="3">
        <v>2895</v>
      </c>
      <c r="E243" s="2" t="s">
        <v>1218</v>
      </c>
      <c r="F243" s="4" t="s">
        <v>527</v>
      </c>
      <c r="G243" s="4" t="s">
        <v>528</v>
      </c>
      <c r="H243" s="23"/>
      <c r="I243" s="23"/>
    </row>
    <row r="244" spans="1:9" ht="15.75" x14ac:dyDescent="0.25">
      <c r="A244" s="2" t="s">
        <v>529</v>
      </c>
      <c r="B244" s="2" t="s">
        <v>1187</v>
      </c>
      <c r="C244" s="3">
        <v>4590</v>
      </c>
      <c r="D244" s="3">
        <v>2287</v>
      </c>
      <c r="E244" s="2" t="s">
        <v>338</v>
      </c>
      <c r="F244" s="4" t="s">
        <v>338</v>
      </c>
      <c r="G244" s="4" t="s">
        <v>530</v>
      </c>
      <c r="H244" s="23"/>
      <c r="I244" s="23"/>
    </row>
    <row r="245" spans="1:9" ht="15.75" x14ac:dyDescent="0.25">
      <c r="A245" s="2" t="s">
        <v>531</v>
      </c>
      <c r="B245" s="2" t="s">
        <v>1187</v>
      </c>
      <c r="C245" s="3">
        <v>4997</v>
      </c>
      <c r="D245" s="3">
        <v>2872</v>
      </c>
      <c r="E245" s="2" t="s">
        <v>1197</v>
      </c>
      <c r="F245" s="4" t="s">
        <v>442</v>
      </c>
      <c r="G245" s="4" t="s">
        <v>532</v>
      </c>
      <c r="H245" s="23"/>
      <c r="I245" s="23"/>
    </row>
    <row r="246" spans="1:9" ht="15.75" x14ac:dyDescent="0.25">
      <c r="A246" s="2" t="s">
        <v>533</v>
      </c>
      <c r="B246" s="2" t="s">
        <v>1187</v>
      </c>
      <c r="C246" s="3">
        <v>5209</v>
      </c>
      <c r="D246" s="3">
        <v>2715</v>
      </c>
      <c r="E246" s="2" t="s">
        <v>1218</v>
      </c>
      <c r="F246" s="4" t="s">
        <v>461</v>
      </c>
      <c r="G246" s="4" t="s">
        <v>534</v>
      </c>
      <c r="H246" s="23"/>
      <c r="I246" s="23"/>
    </row>
    <row r="247" spans="1:9" ht="15.75" x14ac:dyDescent="0.25">
      <c r="A247" s="2" t="s">
        <v>535</v>
      </c>
      <c r="B247" s="2" t="s">
        <v>1187</v>
      </c>
      <c r="C247" s="3">
        <v>6880</v>
      </c>
      <c r="D247" s="3">
        <v>4977</v>
      </c>
      <c r="E247" s="2" t="s">
        <v>1204</v>
      </c>
      <c r="F247" s="4" t="s">
        <v>68</v>
      </c>
      <c r="G247" s="4" t="s">
        <v>536</v>
      </c>
      <c r="H247" s="23"/>
      <c r="I247" s="23"/>
    </row>
    <row r="248" spans="1:9" ht="15.75" x14ac:dyDescent="0.25">
      <c r="A248" s="2" t="s">
        <v>537</v>
      </c>
      <c r="B248" s="2" t="s">
        <v>1187</v>
      </c>
      <c r="C248" s="3">
        <v>4535</v>
      </c>
      <c r="D248" s="3">
        <v>3509</v>
      </c>
      <c r="E248" s="2" t="s">
        <v>1218</v>
      </c>
      <c r="F248" s="4" t="s">
        <v>62</v>
      </c>
      <c r="G248" s="4" t="s">
        <v>538</v>
      </c>
      <c r="H248" s="23"/>
      <c r="I248" s="23"/>
    </row>
    <row r="249" spans="1:9" ht="15.75" x14ac:dyDescent="0.25">
      <c r="A249" s="2" t="s">
        <v>1117</v>
      </c>
      <c r="B249" s="2" t="s">
        <v>1187</v>
      </c>
      <c r="C249" s="3">
        <v>3794</v>
      </c>
      <c r="D249" s="3">
        <v>4685</v>
      </c>
      <c r="E249" s="2" t="s">
        <v>1678</v>
      </c>
      <c r="F249" s="4" t="s">
        <v>267</v>
      </c>
      <c r="G249" s="4" t="s">
        <v>1118</v>
      </c>
      <c r="H249" s="23"/>
      <c r="I249" s="23"/>
    </row>
    <row r="250" spans="1:9" ht="15.75" x14ac:dyDescent="0.25">
      <c r="A250" s="2" t="s">
        <v>539</v>
      </c>
      <c r="B250" s="2" t="s">
        <v>1187</v>
      </c>
      <c r="C250" s="3">
        <v>421</v>
      </c>
      <c r="D250" s="3">
        <v>2832</v>
      </c>
      <c r="E250" s="2" t="s">
        <v>1677</v>
      </c>
      <c r="F250" s="4" t="s">
        <v>475</v>
      </c>
      <c r="G250" s="4" t="s">
        <v>540</v>
      </c>
      <c r="H250" s="23"/>
      <c r="I250" s="23"/>
    </row>
    <row r="251" spans="1:9" ht="15.75" x14ac:dyDescent="0.25">
      <c r="A251" s="2" t="s">
        <v>541</v>
      </c>
      <c r="B251" s="2" t="s">
        <v>1187</v>
      </c>
      <c r="C251" s="3">
        <v>710</v>
      </c>
      <c r="D251" s="3">
        <v>3033</v>
      </c>
      <c r="E251" s="2" t="s">
        <v>1218</v>
      </c>
      <c r="F251" s="4" t="s">
        <v>30</v>
      </c>
      <c r="G251" s="4" t="s">
        <v>542</v>
      </c>
      <c r="H251" s="23"/>
      <c r="I251" s="23"/>
    </row>
    <row r="252" spans="1:9" ht="15.75" x14ac:dyDescent="0.25">
      <c r="A252" s="2" t="s">
        <v>543</v>
      </c>
      <c r="B252" s="2" t="s">
        <v>1187</v>
      </c>
      <c r="C252" s="3">
        <v>5225</v>
      </c>
      <c r="D252" s="3">
        <v>3106</v>
      </c>
      <c r="E252" s="2" t="s">
        <v>9</v>
      </c>
      <c r="F252" s="4" t="s">
        <v>9</v>
      </c>
      <c r="G252" s="4" t="s">
        <v>544</v>
      </c>
      <c r="H252" s="23"/>
      <c r="I252" s="23"/>
    </row>
    <row r="253" spans="1:9" ht="15.75" x14ac:dyDescent="0.25">
      <c r="A253" s="2" t="s">
        <v>545</v>
      </c>
      <c r="B253" s="2" t="s">
        <v>1187</v>
      </c>
      <c r="C253" s="3">
        <v>2446</v>
      </c>
      <c r="D253" s="3">
        <v>5724</v>
      </c>
      <c r="E253" s="2" t="s">
        <v>1218</v>
      </c>
      <c r="F253" s="4" t="s">
        <v>62</v>
      </c>
      <c r="G253" s="4" t="s">
        <v>546</v>
      </c>
      <c r="H253" s="23"/>
      <c r="I253" s="23"/>
    </row>
    <row r="254" spans="1:9" ht="15.75" x14ac:dyDescent="0.25">
      <c r="A254" s="2" t="s">
        <v>547</v>
      </c>
      <c r="B254" s="2" t="s">
        <v>1187</v>
      </c>
      <c r="C254" s="3">
        <v>6073</v>
      </c>
      <c r="D254" s="3">
        <v>5297</v>
      </c>
      <c r="E254" s="2" t="s">
        <v>1218</v>
      </c>
      <c r="F254" s="4" t="s">
        <v>65</v>
      </c>
      <c r="G254" s="4" t="s">
        <v>548</v>
      </c>
      <c r="H254" s="23"/>
      <c r="I254" s="23"/>
    </row>
    <row r="255" spans="1:9" ht="15.75" x14ac:dyDescent="0.25">
      <c r="A255" s="2" t="s">
        <v>549</v>
      </c>
      <c r="B255" s="2" t="s">
        <v>1187</v>
      </c>
      <c r="C255" s="3">
        <v>2328</v>
      </c>
      <c r="D255" s="3">
        <v>4961</v>
      </c>
      <c r="E255" s="2" t="s">
        <v>1204</v>
      </c>
      <c r="F255" s="4" t="s">
        <v>68</v>
      </c>
      <c r="G255" s="4" t="s">
        <v>550</v>
      </c>
      <c r="H255" s="23"/>
      <c r="I255" s="23"/>
    </row>
    <row r="256" spans="1:9" ht="15.75" x14ac:dyDescent="0.25">
      <c r="A256" s="2" t="s">
        <v>551</v>
      </c>
      <c r="B256" s="2" t="s">
        <v>1187</v>
      </c>
      <c r="C256" s="3">
        <v>3807</v>
      </c>
      <c r="D256" s="3">
        <v>4815</v>
      </c>
      <c r="E256" s="2" t="s">
        <v>22</v>
      </c>
      <c r="F256" s="4" t="s">
        <v>22</v>
      </c>
      <c r="G256" s="4" t="s">
        <v>552</v>
      </c>
      <c r="H256" s="23"/>
      <c r="I256" s="23"/>
    </row>
    <row r="257" spans="1:9" ht="15.75" x14ac:dyDescent="0.25">
      <c r="A257" s="2" t="s">
        <v>553</v>
      </c>
      <c r="B257" s="2" t="s">
        <v>1187</v>
      </c>
      <c r="C257" s="3">
        <v>4779</v>
      </c>
      <c r="D257" s="3">
        <v>3761</v>
      </c>
      <c r="E257" s="2" t="s">
        <v>1677</v>
      </c>
      <c r="F257" s="4" t="s">
        <v>475</v>
      </c>
      <c r="G257" s="4" t="s">
        <v>554</v>
      </c>
      <c r="H257" s="23"/>
      <c r="I257" s="23"/>
    </row>
    <row r="258" spans="1:9" ht="15.75" x14ac:dyDescent="0.25">
      <c r="A258" s="2" t="s">
        <v>555</v>
      </c>
      <c r="B258" s="2" t="s">
        <v>1187</v>
      </c>
      <c r="C258" s="3">
        <v>6858</v>
      </c>
      <c r="D258" s="3">
        <v>4807</v>
      </c>
      <c r="E258" s="2" t="s">
        <v>70</v>
      </c>
      <c r="F258" s="4" t="s">
        <v>117</v>
      </c>
      <c r="G258" s="4" t="s">
        <v>556</v>
      </c>
      <c r="H258" s="23"/>
      <c r="I258" s="23"/>
    </row>
    <row r="259" spans="1:9" ht="15.75" x14ac:dyDescent="0.25">
      <c r="A259" s="2" t="s">
        <v>557</v>
      </c>
      <c r="B259" s="2" t="s">
        <v>1187</v>
      </c>
      <c r="C259" s="3">
        <v>4686</v>
      </c>
      <c r="D259" s="3">
        <v>5134</v>
      </c>
      <c r="E259" s="2" t="s">
        <v>70</v>
      </c>
      <c r="F259" s="4" t="s">
        <v>117</v>
      </c>
      <c r="G259" s="4" t="s">
        <v>558</v>
      </c>
      <c r="H259" s="23"/>
      <c r="I259" s="23"/>
    </row>
    <row r="260" spans="1:9" ht="15.75" x14ac:dyDescent="0.25">
      <c r="A260" s="2" t="s">
        <v>559</v>
      </c>
      <c r="B260" s="2" t="s">
        <v>1187</v>
      </c>
      <c r="C260" s="3">
        <v>895</v>
      </c>
      <c r="D260" s="3">
        <v>4473</v>
      </c>
      <c r="E260" s="2" t="s">
        <v>1218</v>
      </c>
      <c r="F260" s="4" t="s">
        <v>182</v>
      </c>
      <c r="G260" s="4" t="s">
        <v>560</v>
      </c>
      <c r="H260" s="23"/>
      <c r="I260" s="23"/>
    </row>
    <row r="261" spans="1:9" ht="15.75" x14ac:dyDescent="0.25">
      <c r="A261" s="2" t="s">
        <v>561</v>
      </c>
      <c r="B261" s="2" t="s">
        <v>1187</v>
      </c>
      <c r="C261" s="3">
        <v>2265</v>
      </c>
      <c r="D261" s="3">
        <v>4983</v>
      </c>
      <c r="E261" s="2" t="s">
        <v>1199</v>
      </c>
      <c r="F261" s="4" t="s">
        <v>276</v>
      </c>
      <c r="G261" s="4" t="s">
        <v>562</v>
      </c>
      <c r="H261" s="23"/>
      <c r="I261" s="23"/>
    </row>
    <row r="262" spans="1:9" ht="15.75" x14ac:dyDescent="0.25">
      <c r="A262" s="2" t="s">
        <v>563</v>
      </c>
      <c r="B262" s="2" t="s">
        <v>1187</v>
      </c>
      <c r="C262" s="3">
        <v>2318</v>
      </c>
      <c r="D262" s="3">
        <v>4843</v>
      </c>
      <c r="E262" s="2" t="s">
        <v>1218</v>
      </c>
      <c r="F262" s="4" t="s">
        <v>33</v>
      </c>
      <c r="G262" s="4" t="s">
        <v>564</v>
      </c>
      <c r="H262" s="23"/>
      <c r="I262" s="23"/>
    </row>
    <row r="263" spans="1:9" ht="15.75" x14ac:dyDescent="0.25">
      <c r="A263" s="2" t="s">
        <v>565</v>
      </c>
      <c r="B263" s="2" t="s">
        <v>1187</v>
      </c>
      <c r="C263" s="3">
        <v>3070</v>
      </c>
      <c r="D263" s="3">
        <v>5554</v>
      </c>
      <c r="E263" s="2" t="s">
        <v>1218</v>
      </c>
      <c r="F263" s="4" t="s">
        <v>566</v>
      </c>
      <c r="G263" s="4" t="s">
        <v>567</v>
      </c>
      <c r="H263" s="23"/>
      <c r="I263" s="23"/>
    </row>
    <row r="264" spans="1:9" ht="15.75" x14ac:dyDescent="0.25">
      <c r="A264" s="2" t="s">
        <v>568</v>
      </c>
      <c r="B264" s="2" t="s">
        <v>1187</v>
      </c>
      <c r="C264" s="3">
        <v>2253</v>
      </c>
      <c r="D264" s="3">
        <v>4571</v>
      </c>
      <c r="E264" s="2" t="s">
        <v>1204</v>
      </c>
      <c r="F264" s="4" t="s">
        <v>16</v>
      </c>
      <c r="G264" s="4" t="s">
        <v>569</v>
      </c>
      <c r="H264" s="23"/>
      <c r="I264" s="23"/>
    </row>
    <row r="265" spans="1:9" ht="15.75" x14ac:dyDescent="0.25">
      <c r="A265" s="2" t="s">
        <v>570</v>
      </c>
      <c r="B265" s="2" t="s">
        <v>1187</v>
      </c>
      <c r="C265" s="3">
        <v>1332</v>
      </c>
      <c r="D265" s="3">
        <v>3499</v>
      </c>
      <c r="E265" s="2" t="s">
        <v>1218</v>
      </c>
      <c r="F265" s="4" t="s">
        <v>105</v>
      </c>
      <c r="G265" s="4" t="s">
        <v>571</v>
      </c>
      <c r="H265" s="23"/>
      <c r="I265" s="23"/>
    </row>
    <row r="266" spans="1:9" ht="15.75" x14ac:dyDescent="0.25">
      <c r="A266" s="2" t="s">
        <v>572</v>
      </c>
      <c r="B266" s="2" t="s">
        <v>1187</v>
      </c>
      <c r="C266" s="3">
        <v>5944</v>
      </c>
      <c r="D266" s="3">
        <v>4959</v>
      </c>
      <c r="E266" s="2" t="s">
        <v>1218</v>
      </c>
      <c r="F266" s="4" t="s">
        <v>65</v>
      </c>
      <c r="G266" s="4" t="s">
        <v>573</v>
      </c>
      <c r="H266" s="23"/>
      <c r="I266" s="23"/>
    </row>
    <row r="267" spans="1:9" ht="15.75" x14ac:dyDescent="0.25">
      <c r="A267" s="2" t="s">
        <v>574</v>
      </c>
      <c r="B267" s="2" t="s">
        <v>1187</v>
      </c>
      <c r="C267" s="3">
        <v>3356</v>
      </c>
      <c r="D267" s="3">
        <v>2364</v>
      </c>
      <c r="E267" s="2" t="s">
        <v>9</v>
      </c>
      <c r="F267" s="4" t="s">
        <v>9</v>
      </c>
      <c r="G267" s="4" t="s">
        <v>575</v>
      </c>
      <c r="H267" s="23"/>
      <c r="I267" s="23"/>
    </row>
    <row r="268" spans="1:9" ht="15.75" x14ac:dyDescent="0.25">
      <c r="A268" s="2" t="s">
        <v>576</v>
      </c>
      <c r="B268" s="2" t="s">
        <v>1187</v>
      </c>
      <c r="C268" s="3">
        <v>4633</v>
      </c>
      <c r="D268" s="3">
        <v>774</v>
      </c>
      <c r="E268" s="2" t="s">
        <v>9</v>
      </c>
      <c r="F268" s="4" t="s">
        <v>9</v>
      </c>
      <c r="G268" s="4" t="s">
        <v>577</v>
      </c>
      <c r="H268" s="23"/>
      <c r="I268" s="23"/>
    </row>
    <row r="269" spans="1:9" ht="15.75" x14ac:dyDescent="0.25">
      <c r="A269" s="2" t="s">
        <v>578</v>
      </c>
      <c r="B269" s="2" t="s">
        <v>1187</v>
      </c>
      <c r="C269" s="3">
        <v>4823</v>
      </c>
      <c r="D269" s="3">
        <v>1255</v>
      </c>
      <c r="E269" s="2" t="s">
        <v>1218</v>
      </c>
      <c r="F269" s="4" t="s">
        <v>400</v>
      </c>
      <c r="G269" s="4" t="s">
        <v>579</v>
      </c>
      <c r="H269" s="23"/>
      <c r="I269" s="23"/>
    </row>
    <row r="270" spans="1:9" ht="15.75" x14ac:dyDescent="0.25">
      <c r="A270" s="2" t="s">
        <v>580</v>
      </c>
      <c r="B270" s="2" t="s">
        <v>1187</v>
      </c>
      <c r="C270" s="3">
        <v>1107</v>
      </c>
      <c r="D270" s="3">
        <v>4423</v>
      </c>
      <c r="E270" s="2" t="s">
        <v>1677</v>
      </c>
      <c r="F270" s="4" t="s">
        <v>108</v>
      </c>
      <c r="G270" s="4" t="s">
        <v>581</v>
      </c>
      <c r="H270" s="23"/>
      <c r="I270" s="23"/>
    </row>
    <row r="271" spans="1:9" ht="15.75" x14ac:dyDescent="0.25">
      <c r="A271" s="2" t="s">
        <v>582</v>
      </c>
      <c r="B271" s="2" t="s">
        <v>1187</v>
      </c>
      <c r="C271" s="3">
        <v>2262</v>
      </c>
      <c r="D271" s="3">
        <v>4734</v>
      </c>
      <c r="E271" s="2" t="s">
        <v>1677</v>
      </c>
      <c r="F271" s="4" t="s">
        <v>222</v>
      </c>
      <c r="G271" s="4" t="s">
        <v>583</v>
      </c>
      <c r="H271" s="23"/>
      <c r="I271" s="23"/>
    </row>
    <row r="272" spans="1:9" ht="15.75" x14ac:dyDescent="0.25">
      <c r="A272" s="2" t="s">
        <v>584</v>
      </c>
      <c r="B272" s="2" t="s">
        <v>1187</v>
      </c>
      <c r="C272" s="3">
        <v>6096</v>
      </c>
      <c r="D272" s="3">
        <v>5004</v>
      </c>
      <c r="E272" s="2" t="s">
        <v>338</v>
      </c>
      <c r="F272" s="4" t="s">
        <v>338</v>
      </c>
      <c r="G272" s="4" t="s">
        <v>585</v>
      </c>
      <c r="H272" s="23"/>
      <c r="I272" s="23"/>
    </row>
    <row r="273" spans="1:9" ht="15.75" x14ac:dyDescent="0.25">
      <c r="A273" s="2" t="s">
        <v>1169</v>
      </c>
      <c r="B273" s="2" t="s">
        <v>1187</v>
      </c>
      <c r="C273" s="3">
        <v>1924</v>
      </c>
      <c r="D273" s="3">
        <v>1660</v>
      </c>
      <c r="E273" s="2" t="s">
        <v>70</v>
      </c>
      <c r="F273" s="4" t="s">
        <v>71</v>
      </c>
      <c r="G273" s="4" t="s">
        <v>586</v>
      </c>
      <c r="H273" s="23"/>
      <c r="I273" s="23"/>
    </row>
    <row r="274" spans="1:9" ht="15.75" x14ac:dyDescent="0.25">
      <c r="A274" s="2" t="s">
        <v>587</v>
      </c>
      <c r="B274" s="2" t="s">
        <v>1187</v>
      </c>
      <c r="C274" s="3">
        <v>1581</v>
      </c>
      <c r="D274" s="3">
        <v>4561</v>
      </c>
      <c r="E274" s="2" t="s">
        <v>1678</v>
      </c>
      <c r="F274" s="4" t="s">
        <v>157</v>
      </c>
      <c r="G274" s="4" t="s">
        <v>588</v>
      </c>
      <c r="H274" s="23"/>
      <c r="I274" s="23"/>
    </row>
    <row r="275" spans="1:9" ht="15.75" x14ac:dyDescent="0.25">
      <c r="A275" s="2" t="s">
        <v>589</v>
      </c>
      <c r="B275" s="2" t="s">
        <v>1187</v>
      </c>
      <c r="C275" s="3">
        <v>4273</v>
      </c>
      <c r="D275" s="3">
        <v>3251</v>
      </c>
      <c r="E275" s="2" t="s">
        <v>1218</v>
      </c>
      <c r="F275" s="4" t="s">
        <v>439</v>
      </c>
      <c r="G275" s="4" t="s">
        <v>590</v>
      </c>
      <c r="H275" s="23"/>
      <c r="I275" s="23"/>
    </row>
    <row r="276" spans="1:9" ht="15.75" x14ac:dyDescent="0.25">
      <c r="A276" s="2" t="s">
        <v>591</v>
      </c>
      <c r="B276" s="2" t="s">
        <v>1187</v>
      </c>
      <c r="C276" s="3">
        <v>4627</v>
      </c>
      <c r="D276" s="3">
        <v>5407</v>
      </c>
      <c r="E276" s="2" t="s">
        <v>1218</v>
      </c>
      <c r="F276" s="4" t="s">
        <v>54</v>
      </c>
      <c r="G276" s="4" t="s">
        <v>592</v>
      </c>
      <c r="H276" s="23"/>
      <c r="I276" s="23"/>
    </row>
    <row r="277" spans="1:9" ht="15.75" x14ac:dyDescent="0.25">
      <c r="A277" s="2" t="s">
        <v>593</v>
      </c>
      <c r="B277" s="2" t="s">
        <v>1187</v>
      </c>
      <c r="C277" s="3">
        <v>2171</v>
      </c>
      <c r="D277" s="3">
        <v>4095</v>
      </c>
      <c r="E277" s="2" t="s">
        <v>1204</v>
      </c>
      <c r="F277" s="4" t="s">
        <v>68</v>
      </c>
      <c r="G277" s="4" t="s">
        <v>594</v>
      </c>
      <c r="H277" s="23"/>
      <c r="I277" s="23"/>
    </row>
    <row r="278" spans="1:9" ht="15.75" x14ac:dyDescent="0.25">
      <c r="A278" s="2" t="s">
        <v>1676</v>
      </c>
      <c r="B278" s="2" t="s">
        <v>1187</v>
      </c>
      <c r="C278" s="3">
        <v>4731</v>
      </c>
      <c r="D278" s="3">
        <v>2417</v>
      </c>
      <c r="E278" s="2" t="s">
        <v>1218</v>
      </c>
      <c r="F278" s="4" t="s">
        <v>297</v>
      </c>
      <c r="G278" s="4" t="s">
        <v>1127</v>
      </c>
      <c r="H278" s="23"/>
      <c r="I278" s="23"/>
    </row>
    <row r="279" spans="1:9" ht="15.75" x14ac:dyDescent="0.25">
      <c r="A279" s="2" t="s">
        <v>595</v>
      </c>
      <c r="B279" s="2" t="s">
        <v>1187</v>
      </c>
      <c r="C279" s="3">
        <v>2060</v>
      </c>
      <c r="D279" s="3">
        <v>5064</v>
      </c>
      <c r="E279" s="2" t="s">
        <v>1199</v>
      </c>
      <c r="F279" s="4" t="s">
        <v>276</v>
      </c>
      <c r="G279" s="4" t="s">
        <v>596</v>
      </c>
      <c r="H279" s="23"/>
      <c r="I279" s="23"/>
    </row>
    <row r="280" spans="1:9" ht="15.75" x14ac:dyDescent="0.25">
      <c r="A280" s="2" t="s">
        <v>597</v>
      </c>
      <c r="B280" s="2" t="s">
        <v>1187</v>
      </c>
      <c r="C280" s="3">
        <v>2294</v>
      </c>
      <c r="D280" s="3">
        <v>1090</v>
      </c>
      <c r="E280" s="2" t="s">
        <v>1677</v>
      </c>
      <c r="F280" s="4" t="s">
        <v>475</v>
      </c>
      <c r="G280" s="4" t="s">
        <v>598</v>
      </c>
      <c r="H280" s="23"/>
      <c r="I280" s="23"/>
    </row>
    <row r="281" spans="1:9" ht="15.75" x14ac:dyDescent="0.25">
      <c r="A281" s="2" t="s">
        <v>599</v>
      </c>
      <c r="B281" s="2" t="s">
        <v>1187</v>
      </c>
      <c r="C281" s="3">
        <v>1608</v>
      </c>
      <c r="D281" s="3">
        <v>3219</v>
      </c>
      <c r="E281" s="2" t="s">
        <v>1218</v>
      </c>
      <c r="F281" s="4" t="s">
        <v>92</v>
      </c>
      <c r="G281" s="4" t="s">
        <v>600</v>
      </c>
      <c r="H281" s="23"/>
      <c r="I281" s="23"/>
    </row>
    <row r="282" spans="1:9" ht="15.75" x14ac:dyDescent="0.25">
      <c r="A282" s="2" t="s">
        <v>601</v>
      </c>
      <c r="B282" s="2" t="s">
        <v>1187</v>
      </c>
      <c r="C282" s="3">
        <v>4718</v>
      </c>
      <c r="D282" s="3">
        <v>5051</v>
      </c>
      <c r="E282" s="2" t="s">
        <v>1218</v>
      </c>
      <c r="F282" s="4" t="s">
        <v>39</v>
      </c>
      <c r="G282" s="4" t="s">
        <v>602</v>
      </c>
      <c r="H282" s="23"/>
      <c r="I282" s="23"/>
    </row>
    <row r="283" spans="1:9" ht="15.75" x14ac:dyDescent="0.25">
      <c r="A283" s="2" t="s">
        <v>603</v>
      </c>
      <c r="B283" s="2" t="s">
        <v>1187</v>
      </c>
      <c r="C283" s="3">
        <v>845</v>
      </c>
      <c r="D283" s="3">
        <v>4427</v>
      </c>
      <c r="E283" s="2" t="s">
        <v>1218</v>
      </c>
      <c r="F283" s="4" t="s">
        <v>490</v>
      </c>
      <c r="G283" s="4" t="s">
        <v>604</v>
      </c>
      <c r="H283" s="23"/>
      <c r="I283" s="23"/>
    </row>
    <row r="284" spans="1:9" ht="15.75" x14ac:dyDescent="0.25">
      <c r="A284" s="2" t="s">
        <v>605</v>
      </c>
      <c r="B284" s="2" t="s">
        <v>1187</v>
      </c>
      <c r="C284" s="3">
        <v>5387</v>
      </c>
      <c r="D284" s="3">
        <v>3207</v>
      </c>
      <c r="E284" s="2" t="s">
        <v>1218</v>
      </c>
      <c r="F284" s="4" t="s">
        <v>606</v>
      </c>
      <c r="G284" s="4" t="s">
        <v>607</v>
      </c>
      <c r="H284" s="23"/>
      <c r="I284" s="23"/>
    </row>
    <row r="285" spans="1:9" ht="15.75" x14ac:dyDescent="0.25">
      <c r="A285" s="2" t="s">
        <v>608</v>
      </c>
      <c r="B285" s="2" t="s">
        <v>1187</v>
      </c>
      <c r="C285" s="3">
        <v>976</v>
      </c>
      <c r="D285" s="3">
        <v>4615</v>
      </c>
      <c r="E285" s="2" t="s">
        <v>1218</v>
      </c>
      <c r="F285" s="4" t="s">
        <v>78</v>
      </c>
      <c r="G285" s="4" t="s">
        <v>609</v>
      </c>
      <c r="H285" s="23"/>
      <c r="I285" s="23"/>
    </row>
    <row r="286" spans="1:9" ht="15.75" x14ac:dyDescent="0.25">
      <c r="A286" s="2" t="s">
        <v>608</v>
      </c>
      <c r="B286" s="2" t="s">
        <v>1187</v>
      </c>
      <c r="C286" s="3">
        <v>911</v>
      </c>
      <c r="D286" s="3">
        <v>4650</v>
      </c>
      <c r="E286" s="2" t="s">
        <v>1218</v>
      </c>
      <c r="F286" s="4" t="s">
        <v>78</v>
      </c>
      <c r="G286" s="4" t="s">
        <v>609</v>
      </c>
      <c r="H286" s="23"/>
      <c r="I286" s="23"/>
    </row>
    <row r="287" spans="1:9" ht="15.75" x14ac:dyDescent="0.25">
      <c r="A287" s="2" t="s">
        <v>608</v>
      </c>
      <c r="B287" s="2" t="s">
        <v>1187</v>
      </c>
      <c r="C287" s="3">
        <v>892</v>
      </c>
      <c r="D287" s="3">
        <v>4680</v>
      </c>
      <c r="E287" s="2" t="s">
        <v>1218</v>
      </c>
      <c r="F287" s="4" t="s">
        <v>78</v>
      </c>
      <c r="G287" s="4" t="s">
        <v>609</v>
      </c>
      <c r="H287" s="23"/>
      <c r="I287" s="23"/>
    </row>
    <row r="288" spans="1:9" ht="15.75" x14ac:dyDescent="0.25">
      <c r="A288" s="2" t="s">
        <v>608</v>
      </c>
      <c r="B288" s="2" t="s">
        <v>1187</v>
      </c>
      <c r="C288" s="3">
        <v>923</v>
      </c>
      <c r="D288" s="3">
        <v>4745</v>
      </c>
      <c r="E288" s="2" t="s">
        <v>1218</v>
      </c>
      <c r="F288" s="4" t="s">
        <v>78</v>
      </c>
      <c r="G288" s="4" t="s">
        <v>609</v>
      </c>
      <c r="H288" s="23"/>
      <c r="I288" s="23"/>
    </row>
    <row r="289" spans="1:9" ht="15.75" x14ac:dyDescent="0.25">
      <c r="A289" s="2" t="s">
        <v>610</v>
      </c>
      <c r="B289" s="2" t="s">
        <v>1187</v>
      </c>
      <c r="C289" s="3">
        <v>6164</v>
      </c>
      <c r="D289" s="3">
        <v>5537</v>
      </c>
      <c r="E289" s="2" t="s">
        <v>1199</v>
      </c>
      <c r="F289" s="4" t="s">
        <v>19</v>
      </c>
      <c r="G289" s="4" t="s">
        <v>611</v>
      </c>
      <c r="H289" s="23"/>
      <c r="I289" s="23"/>
    </row>
    <row r="290" spans="1:9" ht="15.75" x14ac:dyDescent="0.25">
      <c r="A290" s="2" t="s">
        <v>612</v>
      </c>
      <c r="B290" s="2" t="s">
        <v>1187</v>
      </c>
      <c r="C290" s="3">
        <v>2272</v>
      </c>
      <c r="D290" s="3">
        <v>1049</v>
      </c>
      <c r="E290" s="2" t="s">
        <v>1218</v>
      </c>
      <c r="F290" s="4" t="s">
        <v>613</v>
      </c>
      <c r="G290" s="4" t="s">
        <v>614</v>
      </c>
      <c r="H290" s="23"/>
      <c r="I290" s="23"/>
    </row>
    <row r="291" spans="1:9" ht="15.75" x14ac:dyDescent="0.25">
      <c r="A291" s="2" t="s">
        <v>615</v>
      </c>
      <c r="B291" s="2" t="s">
        <v>1187</v>
      </c>
      <c r="C291" s="3">
        <v>5056</v>
      </c>
      <c r="D291" s="3">
        <v>3192</v>
      </c>
      <c r="E291" s="2" t="s">
        <v>1204</v>
      </c>
      <c r="F291" s="4" t="s">
        <v>68</v>
      </c>
      <c r="G291" s="4" t="s">
        <v>616</v>
      </c>
      <c r="H291" s="23"/>
      <c r="I291" s="23"/>
    </row>
    <row r="292" spans="1:9" ht="15.75" x14ac:dyDescent="0.25">
      <c r="A292" s="2" t="s">
        <v>617</v>
      </c>
      <c r="B292" s="2" t="s">
        <v>1187</v>
      </c>
      <c r="C292" s="3">
        <v>4153</v>
      </c>
      <c r="D292" s="3">
        <v>1009</v>
      </c>
      <c r="E292" s="2" t="s">
        <v>1218</v>
      </c>
      <c r="F292" s="4" t="s">
        <v>62</v>
      </c>
      <c r="G292" s="4" t="s">
        <v>618</v>
      </c>
      <c r="H292" s="23"/>
      <c r="I292" s="23"/>
    </row>
    <row r="293" spans="1:9" ht="15.75" x14ac:dyDescent="0.25">
      <c r="A293" s="2" t="s">
        <v>619</v>
      </c>
      <c r="B293" s="2" t="s">
        <v>1187</v>
      </c>
      <c r="C293" s="3">
        <v>2352</v>
      </c>
      <c r="D293" s="3">
        <v>1039</v>
      </c>
      <c r="E293" s="2" t="s">
        <v>1218</v>
      </c>
      <c r="F293" s="4" t="s">
        <v>57</v>
      </c>
      <c r="G293" s="4" t="s">
        <v>620</v>
      </c>
      <c r="H293" s="23"/>
      <c r="I293" s="23"/>
    </row>
    <row r="294" spans="1:9" ht="15.75" x14ac:dyDescent="0.25">
      <c r="A294" s="2" t="s">
        <v>621</v>
      </c>
      <c r="B294" s="2" t="s">
        <v>1187</v>
      </c>
      <c r="C294" s="3">
        <v>2646</v>
      </c>
      <c r="D294" s="3">
        <v>5212</v>
      </c>
      <c r="E294" s="2" t="s">
        <v>1218</v>
      </c>
      <c r="F294" s="4" t="s">
        <v>54</v>
      </c>
      <c r="G294" s="4" t="s">
        <v>622</v>
      </c>
      <c r="H294" s="23"/>
      <c r="I294" s="23"/>
    </row>
    <row r="295" spans="1:9" ht="15.75" x14ac:dyDescent="0.25">
      <c r="A295" s="2" t="s">
        <v>623</v>
      </c>
      <c r="B295" s="2" t="s">
        <v>1187</v>
      </c>
      <c r="C295" s="3">
        <v>4814</v>
      </c>
      <c r="D295" s="3">
        <v>5820</v>
      </c>
      <c r="E295" s="2" t="s">
        <v>1677</v>
      </c>
      <c r="F295" s="4" t="s">
        <v>222</v>
      </c>
      <c r="G295" s="4" t="s">
        <v>624</v>
      </c>
      <c r="H295" s="23"/>
      <c r="I295" s="23"/>
    </row>
    <row r="296" spans="1:9" ht="15.75" x14ac:dyDescent="0.25">
      <c r="A296" s="2" t="s">
        <v>625</v>
      </c>
      <c r="B296" s="2" t="s">
        <v>1187</v>
      </c>
      <c r="C296" s="3">
        <v>471</v>
      </c>
      <c r="D296" s="3">
        <v>4320</v>
      </c>
      <c r="E296" s="2" t="s">
        <v>1204</v>
      </c>
      <c r="F296" s="4" t="s">
        <v>68</v>
      </c>
      <c r="G296" s="4" t="s">
        <v>626</v>
      </c>
      <c r="H296" s="23"/>
      <c r="I296" s="23"/>
    </row>
    <row r="297" spans="1:9" ht="15.75" x14ac:dyDescent="0.25">
      <c r="A297" s="2" t="s">
        <v>627</v>
      </c>
      <c r="B297" s="2" t="s">
        <v>1187</v>
      </c>
      <c r="C297" s="3">
        <v>3796</v>
      </c>
      <c r="D297" s="3">
        <v>5039</v>
      </c>
      <c r="E297" s="2" t="s">
        <v>1199</v>
      </c>
      <c r="F297" s="4" t="s">
        <v>19</v>
      </c>
      <c r="G297" s="4" t="s">
        <v>628</v>
      </c>
      <c r="H297" s="23"/>
      <c r="I297" s="23"/>
    </row>
    <row r="298" spans="1:9" ht="15.75" x14ac:dyDescent="0.25">
      <c r="A298" s="2" t="s">
        <v>629</v>
      </c>
      <c r="B298" s="2" t="s">
        <v>1187</v>
      </c>
      <c r="C298" s="3">
        <v>3086</v>
      </c>
      <c r="D298" s="3">
        <v>3941</v>
      </c>
      <c r="E298" s="2" t="s">
        <v>1199</v>
      </c>
      <c r="F298" s="4" t="s">
        <v>630</v>
      </c>
      <c r="G298" s="4" t="s">
        <v>631</v>
      </c>
      <c r="H298" s="23"/>
      <c r="I298" s="23"/>
    </row>
    <row r="299" spans="1:9" ht="15.75" x14ac:dyDescent="0.25">
      <c r="A299" s="2" t="s">
        <v>632</v>
      </c>
      <c r="B299" s="2" t="s">
        <v>1187</v>
      </c>
      <c r="C299" s="3">
        <v>2362</v>
      </c>
      <c r="D299" s="3">
        <v>5284</v>
      </c>
      <c r="E299" s="2" t="s">
        <v>1677</v>
      </c>
      <c r="F299" s="4" t="s">
        <v>222</v>
      </c>
      <c r="G299" s="4" t="s">
        <v>633</v>
      </c>
      <c r="H299" s="23"/>
      <c r="I299" s="23"/>
    </row>
    <row r="300" spans="1:9" ht="15.75" x14ac:dyDescent="0.25">
      <c r="A300" s="2" t="s">
        <v>634</v>
      </c>
      <c r="B300" s="2" t="s">
        <v>1187</v>
      </c>
      <c r="C300" s="3">
        <v>816</v>
      </c>
      <c r="D300" s="3">
        <v>4551</v>
      </c>
      <c r="E300" s="2" t="s">
        <v>1218</v>
      </c>
      <c r="F300" s="4" t="s">
        <v>78</v>
      </c>
      <c r="G300" s="4" t="s">
        <v>635</v>
      </c>
      <c r="H300" s="23"/>
      <c r="I300" s="23"/>
    </row>
    <row r="301" spans="1:9" ht="15.75" x14ac:dyDescent="0.25">
      <c r="A301" s="2" t="s">
        <v>634</v>
      </c>
      <c r="B301" s="2" t="s">
        <v>1187</v>
      </c>
      <c r="C301" s="3">
        <v>653</v>
      </c>
      <c r="D301" s="3">
        <v>4598</v>
      </c>
      <c r="E301" s="2" t="s">
        <v>1218</v>
      </c>
      <c r="F301" s="4" t="s">
        <v>78</v>
      </c>
      <c r="G301" s="4" t="s">
        <v>635</v>
      </c>
      <c r="H301" s="23"/>
      <c r="I301" s="23"/>
    </row>
    <row r="302" spans="1:9" ht="15.75" x14ac:dyDescent="0.25">
      <c r="A302" s="2" t="s">
        <v>636</v>
      </c>
      <c r="B302" s="2" t="s">
        <v>1187</v>
      </c>
      <c r="C302" s="3">
        <v>2463</v>
      </c>
      <c r="D302" s="3">
        <v>4550</v>
      </c>
      <c r="E302" s="2" t="s">
        <v>1678</v>
      </c>
      <c r="F302" s="4" t="s">
        <v>637</v>
      </c>
      <c r="G302" s="4" t="s">
        <v>638</v>
      </c>
      <c r="H302" s="23"/>
      <c r="I302" s="23"/>
    </row>
    <row r="303" spans="1:9" ht="15.75" x14ac:dyDescent="0.25">
      <c r="A303" s="2" t="s">
        <v>639</v>
      </c>
      <c r="B303" s="2" t="s">
        <v>1187</v>
      </c>
      <c r="C303" s="3">
        <v>996</v>
      </c>
      <c r="D303" s="3">
        <v>4553</v>
      </c>
      <c r="E303" s="2" t="s">
        <v>1677</v>
      </c>
      <c r="F303" s="4" t="s">
        <v>343</v>
      </c>
      <c r="G303" s="4" t="s">
        <v>640</v>
      </c>
      <c r="H303" s="23"/>
      <c r="I303" s="23"/>
    </row>
    <row r="304" spans="1:9" ht="15.75" x14ac:dyDescent="0.25">
      <c r="A304" s="2" t="s">
        <v>641</v>
      </c>
      <c r="B304" s="2" t="s">
        <v>1187</v>
      </c>
      <c r="C304" s="3">
        <v>3386</v>
      </c>
      <c r="D304" s="3">
        <v>3804</v>
      </c>
      <c r="E304" s="2" t="s">
        <v>1218</v>
      </c>
      <c r="F304" s="4" t="s">
        <v>208</v>
      </c>
      <c r="G304" s="4" t="s">
        <v>642</v>
      </c>
      <c r="H304" s="23"/>
      <c r="I304" s="23"/>
    </row>
    <row r="305" spans="1:9" ht="15.75" x14ac:dyDescent="0.25">
      <c r="A305" s="2" t="s">
        <v>643</v>
      </c>
      <c r="B305" s="2" t="s">
        <v>1187</v>
      </c>
      <c r="C305" s="3">
        <v>2506</v>
      </c>
      <c r="D305" s="3">
        <v>4927</v>
      </c>
      <c r="E305" s="2" t="s">
        <v>1677</v>
      </c>
      <c r="F305" s="4" t="s">
        <v>475</v>
      </c>
      <c r="G305" s="4" t="s">
        <v>644</v>
      </c>
      <c r="H305" s="23"/>
      <c r="I305" s="23"/>
    </row>
    <row r="306" spans="1:9" ht="15.75" x14ac:dyDescent="0.25">
      <c r="A306" s="2" t="s">
        <v>645</v>
      </c>
      <c r="B306" s="2" t="s">
        <v>1187</v>
      </c>
      <c r="C306" s="3">
        <v>3076</v>
      </c>
      <c r="D306" s="3">
        <v>5722</v>
      </c>
      <c r="E306" s="2" t="s">
        <v>1199</v>
      </c>
      <c r="F306" s="4" t="s">
        <v>646</v>
      </c>
      <c r="G306" s="4" t="s">
        <v>647</v>
      </c>
      <c r="H306" s="23"/>
      <c r="I306" s="23"/>
    </row>
    <row r="307" spans="1:9" ht="15.75" x14ac:dyDescent="0.25">
      <c r="A307" s="2" t="s">
        <v>648</v>
      </c>
      <c r="B307" s="2" t="s">
        <v>1187</v>
      </c>
      <c r="C307" s="3">
        <v>4437</v>
      </c>
      <c r="D307" s="3">
        <v>3392</v>
      </c>
      <c r="E307" s="2" t="s">
        <v>1218</v>
      </c>
      <c r="F307" s="4" t="s">
        <v>217</v>
      </c>
      <c r="G307" s="4" t="s">
        <v>649</v>
      </c>
      <c r="H307" s="23"/>
      <c r="I307" s="23"/>
    </row>
    <row r="308" spans="1:9" ht="15.75" x14ac:dyDescent="0.25">
      <c r="A308" s="2" t="s">
        <v>650</v>
      </c>
      <c r="B308" s="2" t="s">
        <v>1187</v>
      </c>
      <c r="C308" s="3">
        <v>835</v>
      </c>
      <c r="D308" s="3">
        <v>3131</v>
      </c>
      <c r="E308" s="2" t="s">
        <v>1218</v>
      </c>
      <c r="F308" s="4" t="s">
        <v>62</v>
      </c>
      <c r="G308" s="4" t="s">
        <v>651</v>
      </c>
      <c r="H308" s="23"/>
      <c r="I308" s="23"/>
    </row>
    <row r="309" spans="1:9" ht="15.75" x14ac:dyDescent="0.25">
      <c r="A309" s="2" t="s">
        <v>1170</v>
      </c>
      <c r="B309" s="2" t="s">
        <v>1187</v>
      </c>
      <c r="C309" s="3">
        <v>4100</v>
      </c>
      <c r="D309" s="3">
        <v>1425</v>
      </c>
      <c r="E309" s="2" t="s">
        <v>70</v>
      </c>
      <c r="F309" s="4" t="s">
        <v>71</v>
      </c>
      <c r="G309" s="4" t="s">
        <v>652</v>
      </c>
      <c r="H309" s="23"/>
      <c r="I309" s="23"/>
    </row>
    <row r="310" spans="1:9" ht="15.75" x14ac:dyDescent="0.25">
      <c r="A310" s="2" t="s">
        <v>653</v>
      </c>
      <c r="B310" s="2" t="s">
        <v>1187</v>
      </c>
      <c r="C310" s="3">
        <v>6196</v>
      </c>
      <c r="D310" s="3">
        <v>5504</v>
      </c>
      <c r="E310" s="2" t="s">
        <v>1204</v>
      </c>
      <c r="F310" s="4" t="s">
        <v>68</v>
      </c>
      <c r="G310" s="4" t="s">
        <v>654</v>
      </c>
      <c r="H310" s="23"/>
      <c r="I310" s="23"/>
    </row>
    <row r="311" spans="1:9" ht="15.75" x14ac:dyDescent="0.25">
      <c r="A311" s="2" t="s">
        <v>655</v>
      </c>
      <c r="B311" s="2" t="s">
        <v>1187</v>
      </c>
      <c r="C311" s="3">
        <v>5786</v>
      </c>
      <c r="D311" s="3">
        <v>4828</v>
      </c>
      <c r="E311" s="2" t="s">
        <v>1218</v>
      </c>
      <c r="F311" s="4" t="s">
        <v>102</v>
      </c>
      <c r="G311" s="4" t="s">
        <v>656</v>
      </c>
      <c r="H311" s="23"/>
      <c r="I311" s="23"/>
    </row>
    <row r="312" spans="1:9" ht="15.75" x14ac:dyDescent="0.25">
      <c r="A312" s="2" t="s">
        <v>1171</v>
      </c>
      <c r="B312" s="2" t="s">
        <v>1187</v>
      </c>
      <c r="C312" s="3">
        <v>4760</v>
      </c>
      <c r="D312" s="3">
        <v>5975</v>
      </c>
      <c r="E312" s="2" t="s">
        <v>70</v>
      </c>
      <c r="F312" s="4" t="s">
        <v>369</v>
      </c>
      <c r="G312" s="4" t="s">
        <v>657</v>
      </c>
      <c r="H312" s="23"/>
      <c r="I312" s="23"/>
    </row>
    <row r="313" spans="1:9" ht="15.75" x14ac:dyDescent="0.25">
      <c r="A313" s="2" t="s">
        <v>1172</v>
      </c>
      <c r="B313" s="2" t="s">
        <v>1187</v>
      </c>
      <c r="C313" s="3">
        <v>4824</v>
      </c>
      <c r="D313" s="3">
        <v>5983</v>
      </c>
      <c r="E313" s="2" t="s">
        <v>70</v>
      </c>
      <c r="F313" s="4" t="s">
        <v>369</v>
      </c>
      <c r="G313" s="4" t="s">
        <v>658</v>
      </c>
      <c r="H313" s="23"/>
      <c r="I313" s="23"/>
    </row>
    <row r="314" spans="1:9" ht="15.75" x14ac:dyDescent="0.25">
      <c r="A314" s="2" t="s">
        <v>1173</v>
      </c>
      <c r="B314" s="2" t="s">
        <v>1187</v>
      </c>
      <c r="C314" s="3">
        <v>1257</v>
      </c>
      <c r="D314" s="3">
        <v>3025</v>
      </c>
      <c r="E314" s="2" t="s">
        <v>70</v>
      </c>
      <c r="F314" s="4" t="s">
        <v>132</v>
      </c>
      <c r="G314" s="4" t="s">
        <v>659</v>
      </c>
      <c r="H314" s="23"/>
      <c r="I314" s="23"/>
    </row>
    <row r="315" spans="1:9" ht="15.75" x14ac:dyDescent="0.25">
      <c r="A315" s="2" t="s">
        <v>1174</v>
      </c>
      <c r="B315" s="2" t="s">
        <v>1187</v>
      </c>
      <c r="C315" s="3">
        <v>1120</v>
      </c>
      <c r="D315" s="3">
        <v>3072</v>
      </c>
      <c r="E315" s="2" t="s">
        <v>70</v>
      </c>
      <c r="F315" s="4" t="s">
        <v>369</v>
      </c>
      <c r="G315" s="4" t="s">
        <v>660</v>
      </c>
      <c r="H315" s="23"/>
      <c r="I315" s="23"/>
    </row>
    <row r="316" spans="1:9" ht="15.75" x14ac:dyDescent="0.25">
      <c r="A316" s="2" t="s">
        <v>1175</v>
      </c>
      <c r="B316" s="2" t="s">
        <v>1187</v>
      </c>
      <c r="C316" s="3">
        <v>3841</v>
      </c>
      <c r="D316" s="3">
        <v>4953</v>
      </c>
      <c r="E316" s="2" t="s">
        <v>1199</v>
      </c>
      <c r="F316" s="4" t="s">
        <v>19</v>
      </c>
      <c r="G316" s="4" t="s">
        <v>661</v>
      </c>
      <c r="H316" s="23"/>
      <c r="I316" s="23"/>
    </row>
    <row r="317" spans="1:9" ht="15.75" x14ac:dyDescent="0.25">
      <c r="A317" s="2" t="s">
        <v>662</v>
      </c>
      <c r="B317" s="2" t="s">
        <v>1187</v>
      </c>
      <c r="C317" s="3">
        <v>3802</v>
      </c>
      <c r="D317" s="3">
        <v>6112</v>
      </c>
      <c r="E317" s="2" t="s">
        <v>1218</v>
      </c>
      <c r="F317" s="4" t="s">
        <v>663</v>
      </c>
      <c r="G317" s="4" t="s">
        <v>664</v>
      </c>
      <c r="H317" s="23"/>
      <c r="I317" s="23"/>
    </row>
    <row r="318" spans="1:9" ht="15.75" x14ac:dyDescent="0.25">
      <c r="A318" s="2" t="s">
        <v>665</v>
      </c>
      <c r="B318" s="2" t="s">
        <v>1187</v>
      </c>
      <c r="C318" s="3">
        <v>4309</v>
      </c>
      <c r="D318" s="3">
        <v>5828</v>
      </c>
      <c r="E318" s="2" t="s">
        <v>1199</v>
      </c>
      <c r="F318" s="4" t="s">
        <v>630</v>
      </c>
      <c r="G318" s="4" t="s">
        <v>666</v>
      </c>
      <c r="H318" s="23"/>
      <c r="I318" s="23"/>
    </row>
    <row r="319" spans="1:9" ht="15.75" x14ac:dyDescent="0.25">
      <c r="A319" s="2" t="s">
        <v>667</v>
      </c>
      <c r="B319" s="2" t="s">
        <v>1187</v>
      </c>
      <c r="C319" s="3">
        <v>2192</v>
      </c>
      <c r="D319" s="3">
        <v>792</v>
      </c>
      <c r="E319" s="2" t="s">
        <v>1204</v>
      </c>
      <c r="F319" s="4" t="s">
        <v>68</v>
      </c>
      <c r="G319" s="4" t="s">
        <v>668</v>
      </c>
      <c r="H319" s="23"/>
      <c r="I319" s="23"/>
    </row>
    <row r="320" spans="1:9" ht="15.75" x14ac:dyDescent="0.25">
      <c r="A320" s="2" t="s">
        <v>669</v>
      </c>
      <c r="B320" s="2" t="s">
        <v>1187</v>
      </c>
      <c r="C320" s="3">
        <v>3679</v>
      </c>
      <c r="D320" s="3">
        <v>6178</v>
      </c>
      <c r="E320" s="2" t="s">
        <v>1678</v>
      </c>
      <c r="F320" s="4" t="s">
        <v>157</v>
      </c>
      <c r="G320" s="4" t="s">
        <v>670</v>
      </c>
      <c r="H320" s="23"/>
      <c r="I320" s="23"/>
    </row>
    <row r="321" spans="1:9" ht="15.75" x14ac:dyDescent="0.25">
      <c r="A321" s="2" t="s">
        <v>671</v>
      </c>
      <c r="B321" s="2" t="s">
        <v>1187</v>
      </c>
      <c r="C321" s="3">
        <v>876</v>
      </c>
      <c r="D321" s="3">
        <v>3092</v>
      </c>
      <c r="E321" s="2" t="s">
        <v>1677</v>
      </c>
      <c r="F321" s="4" t="s">
        <v>201</v>
      </c>
      <c r="G321" s="4" t="s">
        <v>672</v>
      </c>
      <c r="H321" s="23"/>
      <c r="I321" s="23"/>
    </row>
    <row r="322" spans="1:9" ht="15.75" x14ac:dyDescent="0.25">
      <c r="A322" s="2" t="s">
        <v>673</v>
      </c>
      <c r="B322" s="2" t="s">
        <v>1187</v>
      </c>
      <c r="C322" s="3">
        <v>4759</v>
      </c>
      <c r="D322" s="3">
        <v>3877</v>
      </c>
      <c r="E322" s="2" t="s">
        <v>1197</v>
      </c>
      <c r="F322" s="4" t="s">
        <v>442</v>
      </c>
      <c r="G322" s="4" t="s">
        <v>674</v>
      </c>
      <c r="H322" s="23"/>
      <c r="I322" s="23"/>
    </row>
    <row r="323" spans="1:9" ht="15.75" x14ac:dyDescent="0.25">
      <c r="A323" s="2" t="s">
        <v>1176</v>
      </c>
      <c r="B323" s="2" t="s">
        <v>1187</v>
      </c>
      <c r="C323" s="3">
        <v>2500</v>
      </c>
      <c r="D323" s="3">
        <v>796</v>
      </c>
      <c r="E323" s="2" t="s">
        <v>70</v>
      </c>
      <c r="F323" s="4" t="s">
        <v>71</v>
      </c>
      <c r="G323" s="4" t="s">
        <v>675</v>
      </c>
      <c r="H323" s="23"/>
      <c r="I323" s="23"/>
    </row>
    <row r="324" spans="1:9" ht="15.75" x14ac:dyDescent="0.25">
      <c r="A324" s="2" t="s">
        <v>676</v>
      </c>
      <c r="B324" s="2" t="s">
        <v>1187</v>
      </c>
      <c r="C324" s="3">
        <v>2090</v>
      </c>
      <c r="D324" s="3">
        <v>4806</v>
      </c>
      <c r="E324" s="2" t="s">
        <v>1204</v>
      </c>
      <c r="F324" s="4" t="s">
        <v>68</v>
      </c>
      <c r="G324" s="4" t="s">
        <v>677</v>
      </c>
      <c r="H324" s="23"/>
      <c r="I324" s="23"/>
    </row>
    <row r="325" spans="1:9" ht="15.75" x14ac:dyDescent="0.25">
      <c r="A325" s="2" t="s">
        <v>678</v>
      </c>
      <c r="B325" s="2" t="s">
        <v>1187</v>
      </c>
      <c r="C325" s="3">
        <v>1855</v>
      </c>
      <c r="D325" s="3">
        <v>3877</v>
      </c>
      <c r="E325" s="2" t="s">
        <v>1198</v>
      </c>
      <c r="F325" s="4" t="s">
        <v>143</v>
      </c>
      <c r="G325" s="4" t="s">
        <v>679</v>
      </c>
      <c r="H325" s="23"/>
      <c r="I325" s="23"/>
    </row>
    <row r="326" spans="1:9" ht="15.75" x14ac:dyDescent="0.25">
      <c r="A326" s="2" t="s">
        <v>680</v>
      </c>
      <c r="B326" s="2" t="s">
        <v>1187</v>
      </c>
      <c r="C326" s="3">
        <v>1938</v>
      </c>
      <c r="D326" s="3">
        <v>4020</v>
      </c>
      <c r="E326" s="2" t="s">
        <v>1198</v>
      </c>
      <c r="F326" s="4" t="s">
        <v>143</v>
      </c>
      <c r="G326" s="4" t="s">
        <v>681</v>
      </c>
      <c r="H326" s="23"/>
      <c r="I326" s="23"/>
    </row>
    <row r="327" spans="1:9" ht="15.75" x14ac:dyDescent="0.25">
      <c r="A327" s="2" t="s">
        <v>682</v>
      </c>
      <c r="B327" s="2" t="s">
        <v>1187</v>
      </c>
      <c r="C327" s="3">
        <v>2292</v>
      </c>
      <c r="D327" s="3">
        <v>1004</v>
      </c>
      <c r="E327" s="2" t="s">
        <v>1677</v>
      </c>
      <c r="F327" s="4" t="s">
        <v>81</v>
      </c>
      <c r="G327" s="4" t="s">
        <v>683</v>
      </c>
      <c r="H327" s="23"/>
      <c r="I327" s="23"/>
    </row>
    <row r="328" spans="1:9" ht="15.75" x14ac:dyDescent="0.25">
      <c r="A328" s="2" t="s">
        <v>684</v>
      </c>
      <c r="B328" s="2" t="s">
        <v>1187</v>
      </c>
      <c r="C328" s="3">
        <v>4571</v>
      </c>
      <c r="D328" s="3">
        <v>6150</v>
      </c>
      <c r="E328" s="2" t="s">
        <v>1218</v>
      </c>
      <c r="F328" s="4" t="s">
        <v>685</v>
      </c>
      <c r="G328" s="4" t="s">
        <v>686</v>
      </c>
      <c r="H328" s="23"/>
      <c r="I328" s="23"/>
    </row>
    <row r="329" spans="1:9" ht="15.75" x14ac:dyDescent="0.25">
      <c r="A329" s="2" t="s">
        <v>687</v>
      </c>
      <c r="B329" s="2" t="s">
        <v>1187</v>
      </c>
      <c r="C329" s="3">
        <v>4831</v>
      </c>
      <c r="D329" s="3">
        <v>5952</v>
      </c>
      <c r="E329" s="2" t="s">
        <v>1679</v>
      </c>
      <c r="F329" s="4" t="s">
        <v>172</v>
      </c>
      <c r="G329" s="4" t="s">
        <v>688</v>
      </c>
      <c r="H329" s="23"/>
      <c r="I329" s="23"/>
    </row>
    <row r="330" spans="1:9" ht="15.75" x14ac:dyDescent="0.25">
      <c r="A330" s="2" t="s">
        <v>689</v>
      </c>
      <c r="B330" s="2" t="s">
        <v>1187</v>
      </c>
      <c r="C330" s="3">
        <v>2231</v>
      </c>
      <c r="D330" s="3">
        <v>874</v>
      </c>
      <c r="E330" s="2" t="s">
        <v>9</v>
      </c>
      <c r="F330" s="4" t="s">
        <v>9</v>
      </c>
      <c r="G330" s="4" t="s">
        <v>690</v>
      </c>
      <c r="H330" s="23"/>
      <c r="I330" s="23"/>
    </row>
    <row r="331" spans="1:9" ht="15.75" x14ac:dyDescent="0.25">
      <c r="A331" s="2" t="s">
        <v>691</v>
      </c>
      <c r="B331" s="2" t="s">
        <v>1187</v>
      </c>
      <c r="C331" s="3">
        <v>6082</v>
      </c>
      <c r="D331" s="3">
        <v>5469</v>
      </c>
      <c r="E331" s="2" t="s">
        <v>1218</v>
      </c>
      <c r="F331" s="4" t="s">
        <v>65</v>
      </c>
      <c r="G331" s="4" t="s">
        <v>692</v>
      </c>
      <c r="H331" s="23"/>
      <c r="I331" s="23"/>
    </row>
    <row r="332" spans="1:9" ht="15.75" x14ac:dyDescent="0.25">
      <c r="A332" s="2" t="s">
        <v>693</v>
      </c>
      <c r="B332" s="2" t="s">
        <v>1187</v>
      </c>
      <c r="C332" s="3">
        <v>2166</v>
      </c>
      <c r="D332" s="3">
        <v>938</v>
      </c>
      <c r="E332" s="2" t="s">
        <v>1218</v>
      </c>
      <c r="F332" s="4" t="s">
        <v>694</v>
      </c>
      <c r="G332" s="4" t="s">
        <v>695</v>
      </c>
      <c r="H332" s="23"/>
      <c r="I332" s="23"/>
    </row>
    <row r="333" spans="1:9" ht="15.75" x14ac:dyDescent="0.25">
      <c r="A333" s="2" t="s">
        <v>696</v>
      </c>
      <c r="B333" s="2" t="s">
        <v>1187</v>
      </c>
      <c r="C333" s="3">
        <v>2516</v>
      </c>
      <c r="D333" s="3">
        <v>4989</v>
      </c>
      <c r="E333" s="2" t="s">
        <v>1204</v>
      </c>
      <c r="F333" s="4" t="s">
        <v>68</v>
      </c>
      <c r="G333" s="4" t="s">
        <v>697</v>
      </c>
      <c r="H333" s="23"/>
      <c r="I333" s="23"/>
    </row>
    <row r="334" spans="1:9" ht="15.75" x14ac:dyDescent="0.25">
      <c r="A334" s="2" t="s">
        <v>698</v>
      </c>
      <c r="B334" s="2" t="s">
        <v>1187</v>
      </c>
      <c r="C334" s="3">
        <v>3902</v>
      </c>
      <c r="D334" s="3">
        <v>923</v>
      </c>
      <c r="E334" s="2" t="s">
        <v>1197</v>
      </c>
      <c r="F334" s="4" t="s">
        <v>442</v>
      </c>
      <c r="G334" s="4" t="s">
        <v>699</v>
      </c>
      <c r="H334" s="23"/>
      <c r="I334" s="23"/>
    </row>
    <row r="335" spans="1:9" ht="15.75" x14ac:dyDescent="0.25">
      <c r="A335" s="2" t="s">
        <v>700</v>
      </c>
      <c r="B335" s="2" t="s">
        <v>1187</v>
      </c>
      <c r="C335" s="3">
        <v>4497</v>
      </c>
      <c r="D335" s="3">
        <v>3994</v>
      </c>
      <c r="E335" s="2" t="s">
        <v>1218</v>
      </c>
      <c r="F335" s="4" t="s">
        <v>33</v>
      </c>
      <c r="G335" s="4" t="s">
        <v>701</v>
      </c>
      <c r="H335" s="23"/>
      <c r="I335" s="23"/>
    </row>
    <row r="336" spans="1:9" ht="15.75" x14ac:dyDescent="0.25">
      <c r="A336" s="2" t="s">
        <v>702</v>
      </c>
      <c r="B336" s="2" t="s">
        <v>1187</v>
      </c>
      <c r="C336" s="3">
        <v>1393</v>
      </c>
      <c r="D336" s="3">
        <v>3768</v>
      </c>
      <c r="E336" s="2" t="s">
        <v>1218</v>
      </c>
      <c r="F336" s="4" t="s">
        <v>234</v>
      </c>
      <c r="G336" s="4" t="s">
        <v>703</v>
      </c>
      <c r="H336" s="23"/>
      <c r="I336" s="23"/>
    </row>
    <row r="337" spans="1:9" ht="15.75" x14ac:dyDescent="0.25">
      <c r="A337" s="2" t="s">
        <v>704</v>
      </c>
      <c r="B337" s="2" t="s">
        <v>1187</v>
      </c>
      <c r="C337" s="3">
        <v>6211</v>
      </c>
      <c r="D337" s="3">
        <v>5187</v>
      </c>
      <c r="E337" s="2" t="s">
        <v>1204</v>
      </c>
      <c r="F337" s="4" t="s">
        <v>68</v>
      </c>
      <c r="G337" s="4" t="s">
        <v>705</v>
      </c>
      <c r="H337" s="23"/>
      <c r="I337" s="23"/>
    </row>
    <row r="338" spans="1:9" ht="15.75" x14ac:dyDescent="0.25">
      <c r="A338" s="2" t="s">
        <v>706</v>
      </c>
      <c r="B338" s="2" t="s">
        <v>1187</v>
      </c>
      <c r="C338" s="3">
        <v>4964</v>
      </c>
      <c r="D338" s="3">
        <v>5259</v>
      </c>
      <c r="E338" s="2" t="s">
        <v>9</v>
      </c>
      <c r="F338" s="4" t="s">
        <v>9</v>
      </c>
      <c r="G338" s="4" t="s">
        <v>707</v>
      </c>
      <c r="H338" s="23"/>
      <c r="I338" s="23"/>
    </row>
    <row r="339" spans="1:9" ht="15.75" x14ac:dyDescent="0.25">
      <c r="A339" s="2" t="s">
        <v>708</v>
      </c>
      <c r="B339" s="2" t="s">
        <v>1187</v>
      </c>
      <c r="C339" s="3">
        <v>1430</v>
      </c>
      <c r="D339" s="3">
        <v>5296</v>
      </c>
      <c r="E339" s="2" t="s">
        <v>1218</v>
      </c>
      <c r="F339" s="4" t="s">
        <v>229</v>
      </c>
      <c r="G339" s="4" t="s">
        <v>709</v>
      </c>
      <c r="H339" s="23"/>
      <c r="I339" s="23"/>
    </row>
    <row r="340" spans="1:9" ht="15.75" x14ac:dyDescent="0.25">
      <c r="A340" s="2" t="s">
        <v>710</v>
      </c>
      <c r="B340" s="2" t="s">
        <v>1187</v>
      </c>
      <c r="C340" s="3">
        <v>2902</v>
      </c>
      <c r="D340" s="3">
        <v>4051</v>
      </c>
      <c r="E340" s="2" t="s">
        <v>1677</v>
      </c>
      <c r="F340" s="4" t="s">
        <v>475</v>
      </c>
      <c r="G340" s="4" t="s">
        <v>711</v>
      </c>
      <c r="H340" s="23"/>
      <c r="I340" s="23"/>
    </row>
    <row r="341" spans="1:9" ht="15.75" x14ac:dyDescent="0.25">
      <c r="A341" s="2" t="s">
        <v>712</v>
      </c>
      <c r="B341" s="2" t="s">
        <v>1187</v>
      </c>
      <c r="C341" s="3">
        <v>627</v>
      </c>
      <c r="D341" s="3">
        <v>4500</v>
      </c>
      <c r="E341" s="2" t="s">
        <v>1218</v>
      </c>
      <c r="F341" s="4" t="s">
        <v>78</v>
      </c>
      <c r="G341" s="4" t="s">
        <v>713</v>
      </c>
      <c r="H341" s="23"/>
      <c r="I341" s="23"/>
    </row>
    <row r="342" spans="1:9" ht="15.75" x14ac:dyDescent="0.25">
      <c r="A342" s="2" t="s">
        <v>714</v>
      </c>
      <c r="B342" s="2" t="s">
        <v>1187</v>
      </c>
      <c r="C342" s="3">
        <v>1256</v>
      </c>
      <c r="D342" s="3">
        <v>4828</v>
      </c>
      <c r="E342" s="2" t="s">
        <v>1677</v>
      </c>
      <c r="F342" s="4" t="s">
        <v>715</v>
      </c>
      <c r="G342" s="4" t="s">
        <v>716</v>
      </c>
      <c r="H342" s="23"/>
      <c r="I342" s="23"/>
    </row>
    <row r="343" spans="1:9" ht="15.75" x14ac:dyDescent="0.25">
      <c r="A343" s="2" t="s">
        <v>717</v>
      </c>
      <c r="B343" s="2" t="s">
        <v>1187</v>
      </c>
      <c r="C343" s="3">
        <v>493</v>
      </c>
      <c r="D343" s="3">
        <v>2837</v>
      </c>
      <c r="E343" s="2" t="s">
        <v>1218</v>
      </c>
      <c r="F343" s="4" t="s">
        <v>461</v>
      </c>
      <c r="G343" s="4" t="s">
        <v>718</v>
      </c>
      <c r="H343" s="23"/>
      <c r="I343" s="23"/>
    </row>
    <row r="344" spans="1:9" ht="15.75" x14ac:dyDescent="0.25">
      <c r="A344" s="2" t="s">
        <v>719</v>
      </c>
      <c r="B344" s="2" t="s">
        <v>1187</v>
      </c>
      <c r="C344" s="3">
        <v>390</v>
      </c>
      <c r="D344" s="3">
        <v>2482</v>
      </c>
      <c r="E344" s="2" t="s">
        <v>1218</v>
      </c>
      <c r="F344" s="4" t="s">
        <v>720</v>
      </c>
      <c r="G344" s="4" t="s">
        <v>721</v>
      </c>
      <c r="H344" s="23"/>
      <c r="I344" s="23"/>
    </row>
    <row r="345" spans="1:9" ht="15.75" x14ac:dyDescent="0.25">
      <c r="A345" s="2" t="s">
        <v>722</v>
      </c>
      <c r="B345" s="2" t="s">
        <v>1187</v>
      </c>
      <c r="C345" s="3">
        <v>2084</v>
      </c>
      <c r="D345" s="3">
        <v>4283</v>
      </c>
      <c r="E345" s="2" t="s">
        <v>1218</v>
      </c>
      <c r="F345" s="4" t="s">
        <v>241</v>
      </c>
      <c r="G345" s="4" t="s">
        <v>723</v>
      </c>
      <c r="H345" s="23"/>
      <c r="I345" s="23"/>
    </row>
    <row r="346" spans="1:9" ht="15.75" x14ac:dyDescent="0.25">
      <c r="A346" s="2" t="s">
        <v>724</v>
      </c>
      <c r="B346" s="2" t="s">
        <v>1187</v>
      </c>
      <c r="C346" s="3">
        <v>843</v>
      </c>
      <c r="D346" s="3">
        <v>4768</v>
      </c>
      <c r="E346" s="2" t="s">
        <v>1218</v>
      </c>
      <c r="F346" s="4" t="s">
        <v>78</v>
      </c>
      <c r="G346" s="4" t="s">
        <v>725</v>
      </c>
      <c r="H346" s="23"/>
      <c r="I346" s="23"/>
    </row>
    <row r="347" spans="1:9" ht="15.75" x14ac:dyDescent="0.25">
      <c r="A347" s="2" t="s">
        <v>726</v>
      </c>
      <c r="B347" s="2" t="s">
        <v>1187</v>
      </c>
      <c r="C347" s="3">
        <v>4870</v>
      </c>
      <c r="D347" s="3">
        <v>5140</v>
      </c>
      <c r="E347" s="2" t="s">
        <v>1677</v>
      </c>
      <c r="F347" s="4" t="s">
        <v>201</v>
      </c>
      <c r="G347" s="4" t="s">
        <v>727</v>
      </c>
      <c r="H347" s="23"/>
      <c r="I347" s="23"/>
    </row>
    <row r="348" spans="1:9" ht="15.75" x14ac:dyDescent="0.25">
      <c r="A348" s="2" t="s">
        <v>728</v>
      </c>
      <c r="B348" s="2" t="s">
        <v>1187</v>
      </c>
      <c r="C348" s="3">
        <v>1711</v>
      </c>
      <c r="D348" s="3">
        <v>4216</v>
      </c>
      <c r="E348" s="2" t="s">
        <v>70</v>
      </c>
      <c r="F348" s="4" t="s">
        <v>728</v>
      </c>
      <c r="G348" s="4" t="s">
        <v>729</v>
      </c>
      <c r="H348" s="23"/>
      <c r="I348" s="23"/>
    </row>
    <row r="349" spans="1:9" ht="15.75" x14ac:dyDescent="0.25">
      <c r="A349" s="2" t="s">
        <v>730</v>
      </c>
      <c r="B349" s="2" t="s">
        <v>1187</v>
      </c>
      <c r="C349" s="3">
        <v>3346</v>
      </c>
      <c r="D349" s="3">
        <v>1742</v>
      </c>
      <c r="E349" s="2" t="s">
        <v>1678</v>
      </c>
      <c r="F349" s="4" t="s">
        <v>87</v>
      </c>
      <c r="G349" s="4" t="s">
        <v>731</v>
      </c>
      <c r="H349" s="23"/>
      <c r="I349" s="23"/>
    </row>
    <row r="350" spans="1:9" ht="15.75" x14ac:dyDescent="0.25">
      <c r="A350" s="2" t="s">
        <v>732</v>
      </c>
      <c r="B350" s="2" t="s">
        <v>1187</v>
      </c>
      <c r="C350" s="3">
        <v>364</v>
      </c>
      <c r="D350" s="3">
        <v>3776</v>
      </c>
      <c r="E350" s="2" t="s">
        <v>1218</v>
      </c>
      <c r="F350" s="4" t="s">
        <v>527</v>
      </c>
      <c r="G350" s="4" t="s">
        <v>733</v>
      </c>
      <c r="H350" s="23"/>
      <c r="I350" s="23"/>
    </row>
    <row r="351" spans="1:9" ht="15.75" x14ac:dyDescent="0.25">
      <c r="A351" s="2" t="s">
        <v>734</v>
      </c>
      <c r="B351" s="2" t="s">
        <v>1187</v>
      </c>
      <c r="C351" s="3">
        <v>2312</v>
      </c>
      <c r="D351" s="3">
        <v>4335</v>
      </c>
      <c r="E351" s="2" t="s">
        <v>1218</v>
      </c>
      <c r="F351" s="4" t="s">
        <v>663</v>
      </c>
      <c r="G351" s="4" t="s">
        <v>735</v>
      </c>
      <c r="H351" s="23"/>
      <c r="I351" s="23"/>
    </row>
    <row r="352" spans="1:9" ht="15.75" x14ac:dyDescent="0.25">
      <c r="A352" s="2" t="s">
        <v>736</v>
      </c>
      <c r="B352" s="2" t="s">
        <v>1187</v>
      </c>
      <c r="C352" s="3">
        <v>3538</v>
      </c>
      <c r="D352" s="3">
        <v>3725</v>
      </c>
      <c r="E352" s="2" t="s">
        <v>1677</v>
      </c>
      <c r="F352" s="4" t="s">
        <v>737</v>
      </c>
      <c r="G352" s="4" t="s">
        <v>738</v>
      </c>
      <c r="H352" s="23"/>
      <c r="I352" s="23"/>
    </row>
    <row r="353" spans="1:9" ht="15.75" x14ac:dyDescent="0.25">
      <c r="A353" s="2" t="s">
        <v>739</v>
      </c>
      <c r="B353" s="2" t="s">
        <v>1187</v>
      </c>
      <c r="C353" s="3">
        <v>2357</v>
      </c>
      <c r="D353" s="3">
        <v>4902</v>
      </c>
      <c r="E353" s="2" t="s">
        <v>1677</v>
      </c>
      <c r="F353" s="4" t="s">
        <v>6</v>
      </c>
      <c r="G353" s="4" t="s">
        <v>740</v>
      </c>
      <c r="H353" s="23"/>
      <c r="I353" s="23"/>
    </row>
    <row r="354" spans="1:9" ht="15.75" x14ac:dyDescent="0.25">
      <c r="A354" s="2" t="s">
        <v>741</v>
      </c>
      <c r="B354" s="2" t="s">
        <v>1187</v>
      </c>
      <c r="C354" s="3">
        <v>1500</v>
      </c>
      <c r="D354" s="3">
        <v>3247</v>
      </c>
      <c r="E354" s="2" t="s">
        <v>1218</v>
      </c>
      <c r="F354" s="4" t="s">
        <v>54</v>
      </c>
      <c r="G354" s="4" t="s">
        <v>742</v>
      </c>
      <c r="H354" s="23"/>
      <c r="I354" s="23"/>
    </row>
    <row r="355" spans="1:9" ht="15.75" x14ac:dyDescent="0.25">
      <c r="A355" s="2" t="s">
        <v>743</v>
      </c>
      <c r="B355" s="2" t="s">
        <v>1187</v>
      </c>
      <c r="C355" s="3">
        <v>3511</v>
      </c>
      <c r="D355" s="3">
        <v>3774</v>
      </c>
      <c r="E355" s="2" t="s">
        <v>1677</v>
      </c>
      <c r="F355" s="4" t="s">
        <v>744</v>
      </c>
      <c r="G355" s="4" t="s">
        <v>745</v>
      </c>
      <c r="H355" s="23"/>
      <c r="I355" s="23"/>
    </row>
    <row r="356" spans="1:9" ht="15.75" x14ac:dyDescent="0.25">
      <c r="A356" s="2" t="s">
        <v>746</v>
      </c>
      <c r="B356" s="2" t="s">
        <v>1187</v>
      </c>
      <c r="C356" s="3">
        <v>6250</v>
      </c>
      <c r="D356" s="3">
        <v>5426</v>
      </c>
      <c r="E356" s="2" t="s">
        <v>1677</v>
      </c>
      <c r="F356" s="4" t="s">
        <v>45</v>
      </c>
      <c r="G356" s="4" t="s">
        <v>747</v>
      </c>
      <c r="H356" s="23"/>
      <c r="I356" s="23"/>
    </row>
    <row r="357" spans="1:9" ht="15.75" x14ac:dyDescent="0.25">
      <c r="A357" s="2" t="s">
        <v>748</v>
      </c>
      <c r="B357" s="2" t="s">
        <v>1187</v>
      </c>
      <c r="C357" s="3">
        <v>880</v>
      </c>
      <c r="D357" s="3">
        <v>3690</v>
      </c>
      <c r="E357" s="2" t="s">
        <v>1199</v>
      </c>
      <c r="F357" s="4" t="s">
        <v>646</v>
      </c>
      <c r="G357" s="4" t="s">
        <v>749</v>
      </c>
      <c r="H357" s="23"/>
      <c r="I357" s="23"/>
    </row>
    <row r="358" spans="1:9" ht="15.75" x14ac:dyDescent="0.25">
      <c r="A358" s="2" t="s">
        <v>750</v>
      </c>
      <c r="B358" s="2" t="s">
        <v>1187</v>
      </c>
      <c r="C358" s="3">
        <v>4632</v>
      </c>
      <c r="D358" s="3">
        <v>1362</v>
      </c>
      <c r="E358" s="2" t="s">
        <v>1218</v>
      </c>
      <c r="F358" s="4" t="s">
        <v>57</v>
      </c>
      <c r="G358" s="4" t="s">
        <v>751</v>
      </c>
      <c r="H358" s="23"/>
      <c r="I358" s="23"/>
    </row>
    <row r="359" spans="1:9" ht="15.75" x14ac:dyDescent="0.25">
      <c r="A359" s="2" t="s">
        <v>752</v>
      </c>
      <c r="B359" s="2" t="s">
        <v>1187</v>
      </c>
      <c r="C359" s="3">
        <v>2550</v>
      </c>
      <c r="D359" s="3">
        <v>1088</v>
      </c>
      <c r="E359" s="2" t="s">
        <v>70</v>
      </c>
      <c r="F359" s="4" t="s">
        <v>71</v>
      </c>
      <c r="G359" s="4" t="s">
        <v>753</v>
      </c>
      <c r="H359" s="23"/>
      <c r="I359" s="23"/>
    </row>
    <row r="360" spans="1:9" ht="15.75" x14ac:dyDescent="0.25">
      <c r="A360" s="2" t="s">
        <v>754</v>
      </c>
      <c r="B360" s="2" t="s">
        <v>1187</v>
      </c>
      <c r="C360" s="3">
        <v>2848</v>
      </c>
      <c r="D360" s="3">
        <v>5832</v>
      </c>
      <c r="E360" s="2" t="s">
        <v>1677</v>
      </c>
      <c r="F360" s="4" t="s">
        <v>45</v>
      </c>
      <c r="G360" s="4" t="s">
        <v>755</v>
      </c>
      <c r="H360" s="23"/>
      <c r="I360" s="23"/>
    </row>
    <row r="361" spans="1:9" ht="15.75" x14ac:dyDescent="0.25">
      <c r="A361" s="2" t="s">
        <v>756</v>
      </c>
      <c r="B361" s="2" t="s">
        <v>1187</v>
      </c>
      <c r="C361" s="3">
        <v>980</v>
      </c>
      <c r="D361" s="3">
        <v>2784</v>
      </c>
      <c r="E361" s="2" t="s">
        <v>1218</v>
      </c>
      <c r="F361" s="4" t="s">
        <v>527</v>
      </c>
      <c r="G361" s="4" t="s">
        <v>757</v>
      </c>
      <c r="H361" s="23"/>
      <c r="I361" s="23"/>
    </row>
    <row r="362" spans="1:9" ht="15.75" x14ac:dyDescent="0.25">
      <c r="A362" s="2" t="s">
        <v>758</v>
      </c>
      <c r="B362" s="2" t="s">
        <v>1187</v>
      </c>
      <c r="C362" s="3">
        <v>6234</v>
      </c>
      <c r="D362" s="3">
        <v>4896</v>
      </c>
      <c r="E362" s="2" t="s">
        <v>1218</v>
      </c>
      <c r="F362" s="4" t="s">
        <v>25</v>
      </c>
      <c r="G362" s="4" t="s">
        <v>759</v>
      </c>
      <c r="H362" s="23"/>
      <c r="I362" s="23"/>
    </row>
    <row r="363" spans="1:9" ht="15.75" x14ac:dyDescent="0.25">
      <c r="A363" s="2" t="s">
        <v>760</v>
      </c>
      <c r="B363" s="2" t="s">
        <v>1187</v>
      </c>
      <c r="C363" s="3">
        <v>6463</v>
      </c>
      <c r="D363" s="3">
        <v>2555</v>
      </c>
      <c r="E363" s="2" t="s">
        <v>1218</v>
      </c>
      <c r="F363" s="4" t="s">
        <v>490</v>
      </c>
      <c r="G363" s="4" t="s">
        <v>761</v>
      </c>
      <c r="H363" s="23"/>
      <c r="I363" s="23"/>
    </row>
    <row r="364" spans="1:9" ht="15.75" x14ac:dyDescent="0.25">
      <c r="A364" s="2" t="s">
        <v>762</v>
      </c>
      <c r="B364" s="2" t="s">
        <v>1187</v>
      </c>
      <c r="C364" s="3">
        <v>2250</v>
      </c>
      <c r="D364" s="3">
        <v>3821</v>
      </c>
      <c r="E364" s="2" t="s">
        <v>1197</v>
      </c>
      <c r="F364" s="4" t="s">
        <v>442</v>
      </c>
      <c r="G364" s="4" t="s">
        <v>763</v>
      </c>
      <c r="H364" s="23"/>
      <c r="I364" s="23"/>
    </row>
    <row r="365" spans="1:9" ht="15.75" x14ac:dyDescent="0.25">
      <c r="A365" s="2" t="s">
        <v>764</v>
      </c>
      <c r="B365" s="2" t="s">
        <v>1187</v>
      </c>
      <c r="C365" s="3">
        <v>1011</v>
      </c>
      <c r="D365" s="3">
        <v>4525</v>
      </c>
      <c r="E365" s="2" t="s">
        <v>1218</v>
      </c>
      <c r="F365" s="4" t="s">
        <v>229</v>
      </c>
      <c r="G365" s="4" t="s">
        <v>765</v>
      </c>
      <c r="H365" s="23"/>
      <c r="I365" s="23"/>
    </row>
    <row r="366" spans="1:9" ht="15.75" x14ac:dyDescent="0.25">
      <c r="A366" s="2" t="s">
        <v>766</v>
      </c>
      <c r="B366" s="2" t="s">
        <v>1187</v>
      </c>
      <c r="C366" s="3">
        <v>3471</v>
      </c>
      <c r="D366" s="3">
        <v>3723</v>
      </c>
      <c r="E366" s="2" t="s">
        <v>1677</v>
      </c>
      <c r="F366" s="4" t="s">
        <v>201</v>
      </c>
      <c r="G366" s="4" t="s">
        <v>767</v>
      </c>
      <c r="H366" s="23"/>
      <c r="I366" s="23"/>
    </row>
    <row r="367" spans="1:9" ht="15.75" x14ac:dyDescent="0.25">
      <c r="A367" s="2" t="s">
        <v>768</v>
      </c>
      <c r="B367" s="2" t="s">
        <v>1187</v>
      </c>
      <c r="C367" s="3">
        <v>4729</v>
      </c>
      <c r="D367" s="3">
        <v>3221</v>
      </c>
      <c r="E367" s="2" t="s">
        <v>1679</v>
      </c>
      <c r="F367" s="4" t="s">
        <v>769</v>
      </c>
      <c r="G367" s="4" t="s">
        <v>770</v>
      </c>
      <c r="H367" s="23"/>
      <c r="I367" s="23"/>
    </row>
    <row r="368" spans="1:9" ht="15.75" x14ac:dyDescent="0.25">
      <c r="A368" s="2" t="s">
        <v>771</v>
      </c>
      <c r="B368" s="2" t="s">
        <v>1187</v>
      </c>
      <c r="C368" s="3">
        <v>5083</v>
      </c>
      <c r="D368" s="3">
        <v>3368</v>
      </c>
      <c r="E368" s="2" t="s">
        <v>1679</v>
      </c>
      <c r="F368" s="4" t="s">
        <v>769</v>
      </c>
      <c r="G368" s="4" t="s">
        <v>772</v>
      </c>
      <c r="H368" s="23"/>
      <c r="I368" s="23"/>
    </row>
    <row r="369" spans="1:9" ht="15.75" x14ac:dyDescent="0.25">
      <c r="A369" s="2" t="s">
        <v>773</v>
      </c>
      <c r="B369" s="2" t="s">
        <v>1187</v>
      </c>
      <c r="C369" s="3">
        <v>5281</v>
      </c>
      <c r="D369" s="3">
        <v>3634</v>
      </c>
      <c r="E369" s="2" t="s">
        <v>1679</v>
      </c>
      <c r="F369" s="4" t="s">
        <v>769</v>
      </c>
      <c r="G369" s="4" t="s">
        <v>774</v>
      </c>
      <c r="H369" s="23"/>
      <c r="I369" s="23"/>
    </row>
    <row r="370" spans="1:9" ht="15.75" x14ac:dyDescent="0.25">
      <c r="A370" s="2" t="s">
        <v>775</v>
      </c>
      <c r="B370" s="2" t="s">
        <v>1187</v>
      </c>
      <c r="C370" s="3">
        <v>4646</v>
      </c>
      <c r="D370" s="3">
        <v>3117</v>
      </c>
      <c r="E370" s="2" t="s">
        <v>1679</v>
      </c>
      <c r="F370" s="4" t="s">
        <v>769</v>
      </c>
      <c r="G370" s="4" t="s">
        <v>776</v>
      </c>
      <c r="H370" s="23"/>
      <c r="I370" s="23"/>
    </row>
    <row r="371" spans="1:9" ht="15.75" x14ac:dyDescent="0.25">
      <c r="A371" s="2" t="s">
        <v>777</v>
      </c>
      <c r="B371" s="2" t="s">
        <v>1187</v>
      </c>
      <c r="C371" s="3">
        <v>5122</v>
      </c>
      <c r="D371" s="3">
        <v>3569</v>
      </c>
      <c r="E371" s="2" t="s">
        <v>1679</v>
      </c>
      <c r="F371" s="4" t="s">
        <v>769</v>
      </c>
      <c r="G371" s="4" t="s">
        <v>778</v>
      </c>
      <c r="H371" s="23"/>
      <c r="I371" s="23"/>
    </row>
    <row r="372" spans="1:9" ht="15.75" x14ac:dyDescent="0.25">
      <c r="A372" s="2" t="s">
        <v>779</v>
      </c>
      <c r="B372" s="2" t="s">
        <v>1187</v>
      </c>
      <c r="C372" s="3">
        <v>4267</v>
      </c>
      <c r="D372" s="3">
        <v>2631</v>
      </c>
      <c r="E372" s="2" t="s">
        <v>1679</v>
      </c>
      <c r="F372" s="4" t="s">
        <v>769</v>
      </c>
      <c r="G372" s="4" t="s">
        <v>780</v>
      </c>
      <c r="H372" s="23"/>
      <c r="I372" s="23"/>
    </row>
    <row r="373" spans="1:9" ht="15.75" x14ac:dyDescent="0.25">
      <c r="A373" s="2" t="s">
        <v>781</v>
      </c>
      <c r="B373" s="2" t="s">
        <v>1187</v>
      </c>
      <c r="C373" s="3">
        <v>4878</v>
      </c>
      <c r="D373" s="3">
        <v>3180</v>
      </c>
      <c r="E373" s="2" t="s">
        <v>1679</v>
      </c>
      <c r="F373" s="4" t="s">
        <v>769</v>
      </c>
      <c r="G373" s="4" t="s">
        <v>782</v>
      </c>
      <c r="H373" s="23"/>
      <c r="I373" s="23"/>
    </row>
    <row r="374" spans="1:9" ht="15.75" x14ac:dyDescent="0.25">
      <c r="A374" s="2" t="s">
        <v>783</v>
      </c>
      <c r="B374" s="2" t="s">
        <v>1187</v>
      </c>
      <c r="C374" s="3">
        <v>4990</v>
      </c>
      <c r="D374" s="3">
        <v>3430</v>
      </c>
      <c r="E374" s="2" t="s">
        <v>1679</v>
      </c>
      <c r="F374" s="4" t="s">
        <v>769</v>
      </c>
      <c r="G374" s="4" t="s">
        <v>784</v>
      </c>
      <c r="H374" s="23"/>
      <c r="I374" s="23"/>
    </row>
    <row r="375" spans="1:9" ht="15.75" x14ac:dyDescent="0.25">
      <c r="A375" s="2" t="s">
        <v>785</v>
      </c>
      <c r="B375" s="2" t="s">
        <v>1187</v>
      </c>
      <c r="C375" s="3">
        <v>4836</v>
      </c>
      <c r="D375" s="3">
        <v>3306</v>
      </c>
      <c r="E375" s="2" t="s">
        <v>1679</v>
      </c>
      <c r="F375" s="4" t="s">
        <v>769</v>
      </c>
      <c r="G375" s="4" t="s">
        <v>786</v>
      </c>
      <c r="H375" s="23"/>
      <c r="I375" s="23"/>
    </row>
    <row r="376" spans="1:9" ht="15.75" x14ac:dyDescent="0.25">
      <c r="A376" s="2" t="s">
        <v>787</v>
      </c>
      <c r="B376" s="2" t="s">
        <v>1187</v>
      </c>
      <c r="C376" s="3">
        <v>4365</v>
      </c>
      <c r="D376" s="3">
        <v>2882</v>
      </c>
      <c r="E376" s="2" t="s">
        <v>1679</v>
      </c>
      <c r="F376" s="4" t="s">
        <v>769</v>
      </c>
      <c r="G376" s="4" t="s">
        <v>788</v>
      </c>
      <c r="H376" s="23"/>
      <c r="I376" s="23"/>
    </row>
    <row r="377" spans="1:9" ht="15.75" x14ac:dyDescent="0.25">
      <c r="A377" s="2" t="s">
        <v>789</v>
      </c>
      <c r="B377" s="2" t="s">
        <v>1187</v>
      </c>
      <c r="C377" s="3">
        <v>3916</v>
      </c>
      <c r="D377" s="3">
        <v>2667</v>
      </c>
      <c r="E377" s="2" t="s">
        <v>1679</v>
      </c>
      <c r="F377" s="4" t="s">
        <v>769</v>
      </c>
      <c r="G377" s="4" t="s">
        <v>790</v>
      </c>
      <c r="H377" s="23"/>
      <c r="I377" s="23"/>
    </row>
    <row r="378" spans="1:9" ht="15.75" x14ac:dyDescent="0.25">
      <c r="A378" s="2" t="s">
        <v>791</v>
      </c>
      <c r="B378" s="2" t="s">
        <v>1187</v>
      </c>
      <c r="C378" s="3">
        <v>4457</v>
      </c>
      <c r="D378" s="3">
        <v>2750</v>
      </c>
      <c r="E378" s="2" t="s">
        <v>1679</v>
      </c>
      <c r="F378" s="4" t="s">
        <v>769</v>
      </c>
      <c r="G378" s="4" t="s">
        <v>792</v>
      </c>
      <c r="H378" s="23"/>
      <c r="I378" s="23"/>
    </row>
    <row r="379" spans="1:9" ht="15.75" x14ac:dyDescent="0.25">
      <c r="A379" s="2" t="s">
        <v>793</v>
      </c>
      <c r="B379" s="2" t="s">
        <v>1187</v>
      </c>
      <c r="C379" s="3">
        <v>5014</v>
      </c>
      <c r="D379" s="3">
        <v>3328</v>
      </c>
      <c r="E379" s="2" t="s">
        <v>1679</v>
      </c>
      <c r="F379" s="4" t="s">
        <v>769</v>
      </c>
      <c r="G379" s="4" t="s">
        <v>794</v>
      </c>
      <c r="H379" s="23"/>
      <c r="I379" s="23"/>
    </row>
    <row r="380" spans="1:9" ht="15.75" x14ac:dyDescent="0.25">
      <c r="A380" s="2" t="s">
        <v>795</v>
      </c>
      <c r="B380" s="2" t="s">
        <v>1187</v>
      </c>
      <c r="C380" s="3">
        <v>4966</v>
      </c>
      <c r="D380" s="3">
        <v>3235</v>
      </c>
      <c r="E380" s="2" t="s">
        <v>1679</v>
      </c>
      <c r="F380" s="4" t="s">
        <v>769</v>
      </c>
      <c r="G380" s="4" t="s">
        <v>796</v>
      </c>
      <c r="H380" s="23"/>
      <c r="I380" s="23"/>
    </row>
    <row r="381" spans="1:9" ht="15.75" x14ac:dyDescent="0.25">
      <c r="A381" s="2" t="s">
        <v>797</v>
      </c>
      <c r="B381" s="2" t="s">
        <v>1187</v>
      </c>
      <c r="C381" s="3">
        <v>4356</v>
      </c>
      <c r="D381" s="3">
        <v>3815</v>
      </c>
      <c r="E381" s="2" t="s">
        <v>1199</v>
      </c>
      <c r="F381" s="4" t="s">
        <v>19</v>
      </c>
      <c r="G381" s="4" t="s">
        <v>798</v>
      </c>
      <c r="H381" s="23"/>
      <c r="I381" s="23"/>
    </row>
    <row r="382" spans="1:9" ht="15.75" x14ac:dyDescent="0.25">
      <c r="A382" s="2" t="s">
        <v>799</v>
      </c>
      <c r="B382" s="2" t="s">
        <v>1187</v>
      </c>
      <c r="C382" s="3">
        <v>1102</v>
      </c>
      <c r="D382" s="3">
        <v>3969</v>
      </c>
      <c r="E382" s="2" t="s">
        <v>1679</v>
      </c>
      <c r="F382" s="4" t="s">
        <v>800</v>
      </c>
      <c r="G382" s="4" t="s">
        <v>801</v>
      </c>
      <c r="H382" s="23"/>
      <c r="I382" s="23"/>
    </row>
    <row r="383" spans="1:9" ht="15.75" x14ac:dyDescent="0.25">
      <c r="A383" s="2" t="s">
        <v>802</v>
      </c>
      <c r="B383" s="2" t="s">
        <v>1187</v>
      </c>
      <c r="C383" s="3">
        <v>1271</v>
      </c>
      <c r="D383" s="3">
        <v>5272</v>
      </c>
      <c r="E383" s="2" t="s">
        <v>9</v>
      </c>
      <c r="F383" s="4" t="s">
        <v>9</v>
      </c>
      <c r="G383" s="4" t="s">
        <v>803</v>
      </c>
      <c r="H383" s="23"/>
      <c r="I383" s="23"/>
    </row>
    <row r="384" spans="1:9" ht="15.75" x14ac:dyDescent="0.25">
      <c r="A384" s="2" t="s">
        <v>804</v>
      </c>
      <c r="B384" s="2" t="s">
        <v>1187</v>
      </c>
      <c r="C384" s="3">
        <v>1947</v>
      </c>
      <c r="D384" s="3">
        <v>2124</v>
      </c>
      <c r="E384" s="2" t="s">
        <v>1197</v>
      </c>
      <c r="F384" s="4" t="s">
        <v>442</v>
      </c>
      <c r="G384" s="4" t="s">
        <v>805</v>
      </c>
      <c r="H384" s="23"/>
      <c r="I384" s="23"/>
    </row>
    <row r="385" spans="1:9" ht="15.75" x14ac:dyDescent="0.25">
      <c r="A385" s="2" t="s">
        <v>806</v>
      </c>
      <c r="B385" s="2" t="s">
        <v>1187</v>
      </c>
      <c r="C385" s="3">
        <v>1060</v>
      </c>
      <c r="D385" s="3">
        <v>4729</v>
      </c>
      <c r="E385" s="2" t="s">
        <v>1204</v>
      </c>
      <c r="F385" s="4" t="s">
        <v>68</v>
      </c>
      <c r="G385" s="4" t="s">
        <v>807</v>
      </c>
      <c r="H385" s="23"/>
      <c r="I385" s="23"/>
    </row>
    <row r="386" spans="1:9" ht="15.75" x14ac:dyDescent="0.25">
      <c r="A386" s="2" t="s">
        <v>808</v>
      </c>
      <c r="B386" s="2" t="s">
        <v>1187</v>
      </c>
      <c r="C386" s="3">
        <v>995</v>
      </c>
      <c r="D386" s="3">
        <v>4849</v>
      </c>
      <c r="E386" s="2" t="s">
        <v>1218</v>
      </c>
      <c r="F386" s="4" t="s">
        <v>78</v>
      </c>
      <c r="G386" s="4" t="s">
        <v>809</v>
      </c>
      <c r="H386" s="23"/>
      <c r="I386" s="23"/>
    </row>
    <row r="387" spans="1:9" ht="15.75" x14ac:dyDescent="0.25">
      <c r="A387" s="2" t="s">
        <v>810</v>
      </c>
      <c r="B387" s="2" t="s">
        <v>1187</v>
      </c>
      <c r="C387" s="3">
        <v>893</v>
      </c>
      <c r="D387" s="3">
        <v>4870</v>
      </c>
      <c r="E387" s="2" t="s">
        <v>1218</v>
      </c>
      <c r="F387" s="4" t="s">
        <v>78</v>
      </c>
      <c r="G387" s="4" t="s">
        <v>811</v>
      </c>
      <c r="H387" s="23"/>
      <c r="I387" s="23"/>
    </row>
    <row r="388" spans="1:9" ht="15.75" x14ac:dyDescent="0.25">
      <c r="A388" s="2" t="s">
        <v>812</v>
      </c>
      <c r="B388" s="2" t="s">
        <v>1187</v>
      </c>
      <c r="C388" s="3">
        <v>534</v>
      </c>
      <c r="D388" s="3">
        <v>3763</v>
      </c>
      <c r="E388" s="2" t="s">
        <v>1204</v>
      </c>
      <c r="F388" s="4" t="s">
        <v>16</v>
      </c>
      <c r="G388" s="4" t="s">
        <v>813</v>
      </c>
      <c r="H388" s="23"/>
      <c r="I388" s="23"/>
    </row>
    <row r="389" spans="1:9" ht="15.75" x14ac:dyDescent="0.25">
      <c r="A389" s="2" t="s">
        <v>814</v>
      </c>
      <c r="B389" s="2" t="s">
        <v>1187</v>
      </c>
      <c r="C389" s="3">
        <v>1697</v>
      </c>
      <c r="D389" s="3">
        <v>3233</v>
      </c>
      <c r="E389" s="2" t="s">
        <v>1204</v>
      </c>
      <c r="F389" s="4" t="s">
        <v>16</v>
      </c>
      <c r="G389" s="4" t="s">
        <v>815</v>
      </c>
      <c r="H389" s="23"/>
      <c r="I389" s="23"/>
    </row>
    <row r="390" spans="1:9" ht="15.75" x14ac:dyDescent="0.25">
      <c r="A390" s="2" t="s">
        <v>816</v>
      </c>
      <c r="B390" s="2" t="s">
        <v>1187</v>
      </c>
      <c r="C390" s="3">
        <v>3056</v>
      </c>
      <c r="D390" s="3">
        <v>5626</v>
      </c>
      <c r="E390" s="2" t="s">
        <v>1204</v>
      </c>
      <c r="F390" s="4" t="s">
        <v>68</v>
      </c>
      <c r="G390" s="4" t="s">
        <v>817</v>
      </c>
      <c r="H390" s="23"/>
      <c r="I390" s="23"/>
    </row>
    <row r="391" spans="1:9" ht="15.75" x14ac:dyDescent="0.25">
      <c r="A391" s="2" t="s">
        <v>818</v>
      </c>
      <c r="B391" s="2" t="s">
        <v>1187</v>
      </c>
      <c r="C391" s="3">
        <v>3859</v>
      </c>
      <c r="D391" s="3">
        <v>6110</v>
      </c>
      <c r="E391" s="2" t="s">
        <v>1218</v>
      </c>
      <c r="F391" s="4" t="s">
        <v>54</v>
      </c>
      <c r="G391" s="4" t="s">
        <v>819</v>
      </c>
      <c r="H391" s="23"/>
      <c r="I391" s="23"/>
    </row>
    <row r="392" spans="1:9" ht="15.75" x14ac:dyDescent="0.25">
      <c r="A392" s="2" t="s">
        <v>820</v>
      </c>
      <c r="B392" s="2" t="s">
        <v>1187</v>
      </c>
      <c r="C392" s="3">
        <v>2506</v>
      </c>
      <c r="D392" s="3">
        <v>5940</v>
      </c>
      <c r="E392" s="2" t="s">
        <v>1218</v>
      </c>
      <c r="F392" s="4" t="s">
        <v>244</v>
      </c>
      <c r="G392" s="4" t="s">
        <v>821</v>
      </c>
      <c r="H392" s="23"/>
      <c r="I392" s="23"/>
    </row>
    <row r="393" spans="1:9" ht="15.75" x14ac:dyDescent="0.25">
      <c r="A393" s="2" t="s">
        <v>822</v>
      </c>
      <c r="B393" s="2" t="s">
        <v>1187</v>
      </c>
      <c r="C393" s="3">
        <v>2935</v>
      </c>
      <c r="D393" s="3">
        <v>4036</v>
      </c>
      <c r="E393" s="2" t="s">
        <v>1204</v>
      </c>
      <c r="F393" s="4" t="s">
        <v>68</v>
      </c>
      <c r="G393" s="4" t="s">
        <v>823</v>
      </c>
      <c r="H393" s="23"/>
      <c r="I393" s="23"/>
    </row>
    <row r="394" spans="1:9" ht="15.75" x14ac:dyDescent="0.25">
      <c r="A394" s="2" t="s">
        <v>824</v>
      </c>
      <c r="B394" s="2" t="s">
        <v>1187</v>
      </c>
      <c r="C394" s="3">
        <v>4369</v>
      </c>
      <c r="D394" s="3">
        <v>2314</v>
      </c>
      <c r="E394" s="2" t="s">
        <v>338</v>
      </c>
      <c r="F394" s="4" t="s">
        <v>825</v>
      </c>
      <c r="G394" s="4" t="s">
        <v>826</v>
      </c>
      <c r="H394" s="23"/>
      <c r="I394" s="23"/>
    </row>
    <row r="395" spans="1:9" ht="15.75" x14ac:dyDescent="0.25">
      <c r="A395" s="2" t="s">
        <v>827</v>
      </c>
      <c r="B395" s="2" t="s">
        <v>1187</v>
      </c>
      <c r="C395" s="3">
        <v>5776</v>
      </c>
      <c r="D395" s="3">
        <v>2476</v>
      </c>
      <c r="E395" s="2" t="s">
        <v>1204</v>
      </c>
      <c r="F395" s="4" t="s">
        <v>16</v>
      </c>
      <c r="G395" s="4" t="s">
        <v>828</v>
      </c>
      <c r="H395" s="23"/>
      <c r="I395" s="23"/>
    </row>
    <row r="396" spans="1:9" ht="15.75" x14ac:dyDescent="0.25">
      <c r="A396" s="2" t="s">
        <v>829</v>
      </c>
      <c r="B396" s="2" t="s">
        <v>1187</v>
      </c>
      <c r="C396" s="3">
        <v>3769</v>
      </c>
      <c r="D396" s="3">
        <v>4936</v>
      </c>
      <c r="E396" s="2" t="s">
        <v>1199</v>
      </c>
      <c r="F396" s="4" t="s">
        <v>19</v>
      </c>
      <c r="G396" s="4" t="s">
        <v>830</v>
      </c>
      <c r="H396" s="23"/>
      <c r="I396" s="23"/>
    </row>
    <row r="397" spans="1:9" ht="15.75" x14ac:dyDescent="0.25">
      <c r="A397" s="2" t="s">
        <v>831</v>
      </c>
      <c r="B397" s="2" t="s">
        <v>1187</v>
      </c>
      <c r="C397" s="3">
        <v>3615</v>
      </c>
      <c r="D397" s="3">
        <v>4656</v>
      </c>
      <c r="E397" s="2" t="s">
        <v>1197</v>
      </c>
      <c r="F397" s="4" t="s">
        <v>442</v>
      </c>
      <c r="G397" s="4" t="s">
        <v>832</v>
      </c>
      <c r="H397" s="23"/>
      <c r="I397" s="23"/>
    </row>
    <row r="398" spans="1:9" ht="15.75" x14ac:dyDescent="0.25">
      <c r="A398" s="2" t="s">
        <v>833</v>
      </c>
      <c r="B398" s="2" t="s">
        <v>1187</v>
      </c>
      <c r="C398" s="3">
        <v>3872</v>
      </c>
      <c r="D398" s="3">
        <v>5006</v>
      </c>
      <c r="E398" s="2" t="s">
        <v>1199</v>
      </c>
      <c r="F398" s="4" t="s">
        <v>19</v>
      </c>
      <c r="G398" s="4" t="s">
        <v>834</v>
      </c>
      <c r="H398" s="23"/>
      <c r="I398" s="23"/>
    </row>
    <row r="399" spans="1:9" ht="15.75" x14ac:dyDescent="0.25">
      <c r="A399" s="2" t="s">
        <v>835</v>
      </c>
      <c r="B399" s="2" t="s">
        <v>1187</v>
      </c>
      <c r="C399" s="3">
        <v>4730</v>
      </c>
      <c r="D399" s="3">
        <v>5930</v>
      </c>
      <c r="E399" s="2" t="s">
        <v>1204</v>
      </c>
      <c r="F399" s="4" t="s">
        <v>68</v>
      </c>
      <c r="G399" s="4" t="s">
        <v>836</v>
      </c>
      <c r="H399" s="23"/>
      <c r="I399" s="23"/>
    </row>
    <row r="400" spans="1:9" ht="15.75" x14ac:dyDescent="0.25">
      <c r="A400" s="2" t="s">
        <v>837</v>
      </c>
      <c r="B400" s="2" t="s">
        <v>1187</v>
      </c>
      <c r="C400" s="3">
        <v>2768</v>
      </c>
      <c r="D400" s="3">
        <v>5465</v>
      </c>
      <c r="E400" s="2" t="s">
        <v>1204</v>
      </c>
      <c r="F400" s="4" t="s">
        <v>16</v>
      </c>
      <c r="G400" s="4" t="s">
        <v>838</v>
      </c>
      <c r="H400" s="23"/>
      <c r="I400" s="23"/>
    </row>
    <row r="401" spans="1:9" ht="15.75" x14ac:dyDescent="0.25">
      <c r="A401" s="2" t="s">
        <v>839</v>
      </c>
      <c r="B401" s="2" t="s">
        <v>1187</v>
      </c>
      <c r="C401" s="3">
        <v>2085</v>
      </c>
      <c r="D401" s="3">
        <v>3954</v>
      </c>
      <c r="E401" s="2" t="s">
        <v>1218</v>
      </c>
      <c r="F401" s="4" t="s">
        <v>306</v>
      </c>
      <c r="G401" s="4" t="s">
        <v>840</v>
      </c>
      <c r="H401" s="23"/>
      <c r="I401" s="23"/>
    </row>
    <row r="402" spans="1:9" ht="15.75" x14ac:dyDescent="0.25">
      <c r="A402" s="2" t="s">
        <v>841</v>
      </c>
      <c r="B402" s="2" t="s">
        <v>1187</v>
      </c>
      <c r="C402" s="3">
        <v>4238</v>
      </c>
      <c r="D402" s="3">
        <v>4550</v>
      </c>
      <c r="E402" s="2" t="s">
        <v>1204</v>
      </c>
      <c r="F402" s="4" t="s">
        <v>68</v>
      </c>
      <c r="G402" s="4" t="s">
        <v>842</v>
      </c>
      <c r="H402" s="23"/>
      <c r="I402" s="23"/>
    </row>
    <row r="403" spans="1:9" ht="15.75" x14ac:dyDescent="0.25">
      <c r="A403" s="2" t="s">
        <v>843</v>
      </c>
      <c r="B403" s="2" t="s">
        <v>1187</v>
      </c>
      <c r="C403" s="3">
        <v>3689</v>
      </c>
      <c r="D403" s="3">
        <v>5913</v>
      </c>
      <c r="E403" s="2" t="s">
        <v>70</v>
      </c>
      <c r="F403" s="4" t="s">
        <v>117</v>
      </c>
      <c r="G403" s="4" t="s">
        <v>844</v>
      </c>
      <c r="H403" s="23"/>
      <c r="I403" s="23"/>
    </row>
    <row r="404" spans="1:9" ht="15.75" x14ac:dyDescent="0.25">
      <c r="A404" s="2" t="s">
        <v>845</v>
      </c>
      <c r="B404" s="2" t="s">
        <v>1187</v>
      </c>
      <c r="C404" s="3">
        <v>4867</v>
      </c>
      <c r="D404" s="3">
        <v>6251</v>
      </c>
      <c r="E404" s="2" t="s">
        <v>1678</v>
      </c>
      <c r="F404" s="4" t="s">
        <v>123</v>
      </c>
      <c r="G404" s="4" t="s">
        <v>846</v>
      </c>
      <c r="H404" s="23"/>
      <c r="I404" s="23"/>
    </row>
    <row r="405" spans="1:9" ht="15.75" x14ac:dyDescent="0.25">
      <c r="A405" s="2" t="s">
        <v>847</v>
      </c>
      <c r="B405" s="2" t="s">
        <v>1187</v>
      </c>
      <c r="C405" s="3">
        <v>3293</v>
      </c>
      <c r="D405" s="3">
        <v>3085</v>
      </c>
      <c r="E405" s="2" t="s">
        <v>338</v>
      </c>
      <c r="F405" s="4" t="s">
        <v>338</v>
      </c>
      <c r="G405" s="4" t="s">
        <v>848</v>
      </c>
      <c r="H405" s="23"/>
      <c r="I405" s="23"/>
    </row>
    <row r="406" spans="1:9" ht="15.75" x14ac:dyDescent="0.25">
      <c r="A406" s="2" t="s">
        <v>849</v>
      </c>
      <c r="B406" s="2" t="s">
        <v>1187</v>
      </c>
      <c r="C406" s="3">
        <v>2423</v>
      </c>
      <c r="D406" s="3">
        <v>4996</v>
      </c>
      <c r="E406" s="2" t="s">
        <v>1678</v>
      </c>
      <c r="F406" s="4" t="s">
        <v>87</v>
      </c>
      <c r="G406" s="4" t="s">
        <v>850</v>
      </c>
      <c r="H406" s="23"/>
      <c r="I406" s="23"/>
    </row>
    <row r="407" spans="1:9" ht="15.75" x14ac:dyDescent="0.25">
      <c r="A407" s="2" t="s">
        <v>851</v>
      </c>
      <c r="B407" s="2" t="s">
        <v>1187</v>
      </c>
      <c r="C407" s="3">
        <v>990</v>
      </c>
      <c r="D407" s="3">
        <v>3056</v>
      </c>
      <c r="E407" s="2" t="s">
        <v>1218</v>
      </c>
      <c r="F407" s="4" t="s">
        <v>62</v>
      </c>
      <c r="G407" s="4" t="s">
        <v>852</v>
      </c>
      <c r="H407" s="23"/>
      <c r="I407" s="23"/>
    </row>
    <row r="408" spans="1:9" ht="15.75" x14ac:dyDescent="0.25">
      <c r="A408" s="2" t="s">
        <v>853</v>
      </c>
      <c r="B408" s="2" t="s">
        <v>1187</v>
      </c>
      <c r="C408" s="3">
        <v>2045</v>
      </c>
      <c r="D408" s="3">
        <v>5422</v>
      </c>
      <c r="E408" s="2" t="s">
        <v>1199</v>
      </c>
      <c r="F408" s="4" t="s">
        <v>630</v>
      </c>
      <c r="G408" s="4" t="s">
        <v>854</v>
      </c>
      <c r="H408" s="23"/>
      <c r="I408" s="23"/>
    </row>
    <row r="409" spans="1:9" ht="15.75" x14ac:dyDescent="0.25">
      <c r="A409" s="2" t="s">
        <v>855</v>
      </c>
      <c r="B409" s="2" t="s">
        <v>1187</v>
      </c>
      <c r="C409" s="3">
        <v>3060</v>
      </c>
      <c r="D409" s="3">
        <v>5673</v>
      </c>
      <c r="E409" s="2" t="s">
        <v>1204</v>
      </c>
      <c r="F409" s="4" t="s">
        <v>68</v>
      </c>
      <c r="G409" s="4" t="s">
        <v>856</v>
      </c>
      <c r="H409" s="23"/>
      <c r="I409" s="23"/>
    </row>
    <row r="410" spans="1:9" ht="15.75" x14ac:dyDescent="0.25">
      <c r="A410" s="2" t="s">
        <v>857</v>
      </c>
      <c r="B410" s="2" t="s">
        <v>1187</v>
      </c>
      <c r="C410" s="3">
        <v>6320</v>
      </c>
      <c r="D410" s="3">
        <v>5466</v>
      </c>
      <c r="E410" s="2" t="s">
        <v>1204</v>
      </c>
      <c r="F410" s="4" t="s">
        <v>68</v>
      </c>
      <c r="G410" s="4" t="s">
        <v>858</v>
      </c>
      <c r="H410" s="23"/>
      <c r="I410" s="23"/>
    </row>
    <row r="411" spans="1:9" ht="15.75" x14ac:dyDescent="0.25">
      <c r="A411" s="2" t="s">
        <v>859</v>
      </c>
      <c r="B411" s="2" t="s">
        <v>1187</v>
      </c>
      <c r="C411" s="3">
        <v>1393</v>
      </c>
      <c r="D411" s="3">
        <v>5347</v>
      </c>
      <c r="E411" s="2" t="s">
        <v>1204</v>
      </c>
      <c r="F411" s="4" t="s">
        <v>68</v>
      </c>
      <c r="G411" s="4" t="s">
        <v>860</v>
      </c>
      <c r="H411" s="23"/>
      <c r="I411" s="23"/>
    </row>
    <row r="412" spans="1:9" ht="15.75" x14ac:dyDescent="0.25">
      <c r="A412" s="2" t="s">
        <v>861</v>
      </c>
      <c r="B412" s="2" t="s">
        <v>1187</v>
      </c>
      <c r="C412" s="3">
        <v>696</v>
      </c>
      <c r="D412" s="3">
        <v>2837</v>
      </c>
      <c r="E412" s="2" t="s">
        <v>1204</v>
      </c>
      <c r="F412" s="4" t="s">
        <v>68</v>
      </c>
      <c r="G412" s="4" t="s">
        <v>862</v>
      </c>
      <c r="H412" s="23"/>
      <c r="I412" s="23"/>
    </row>
    <row r="413" spans="1:9" ht="15.75" x14ac:dyDescent="0.25">
      <c r="A413" s="2" t="s">
        <v>863</v>
      </c>
      <c r="B413" s="2" t="s">
        <v>1187</v>
      </c>
      <c r="C413" s="3">
        <v>3787</v>
      </c>
      <c r="D413" s="3">
        <v>6193</v>
      </c>
      <c r="E413" s="2" t="s">
        <v>1218</v>
      </c>
      <c r="F413" s="4" t="s">
        <v>114</v>
      </c>
      <c r="G413" s="4" t="s">
        <v>864</v>
      </c>
      <c r="H413" s="23"/>
      <c r="I413" s="23"/>
    </row>
    <row r="414" spans="1:9" ht="15.75" x14ac:dyDescent="0.25">
      <c r="A414" s="2" t="s">
        <v>865</v>
      </c>
      <c r="B414" s="2" t="s">
        <v>1187</v>
      </c>
      <c r="C414" s="3">
        <v>2207</v>
      </c>
      <c r="D414" s="3">
        <v>4957</v>
      </c>
      <c r="E414" s="2" t="s">
        <v>1199</v>
      </c>
      <c r="F414" s="4" t="s">
        <v>276</v>
      </c>
      <c r="G414" s="4" t="s">
        <v>866</v>
      </c>
      <c r="H414" s="23"/>
      <c r="I414" s="23"/>
    </row>
    <row r="415" spans="1:9" ht="15.75" x14ac:dyDescent="0.25">
      <c r="A415" s="2" t="s">
        <v>867</v>
      </c>
      <c r="B415" s="2" t="s">
        <v>1187</v>
      </c>
      <c r="C415" s="3">
        <v>947</v>
      </c>
      <c r="D415" s="3">
        <v>2677</v>
      </c>
      <c r="E415" s="2" t="s">
        <v>1218</v>
      </c>
      <c r="F415" s="4" t="s">
        <v>694</v>
      </c>
      <c r="G415" s="4" t="s">
        <v>868</v>
      </c>
      <c r="H415" s="23"/>
      <c r="I415" s="23"/>
    </row>
    <row r="416" spans="1:9" ht="15.75" x14ac:dyDescent="0.25">
      <c r="A416" s="2" t="s">
        <v>869</v>
      </c>
      <c r="B416" s="2" t="s">
        <v>1187</v>
      </c>
      <c r="C416" s="3">
        <v>5539</v>
      </c>
      <c r="D416" s="3">
        <v>1598</v>
      </c>
      <c r="E416" s="2" t="s">
        <v>1218</v>
      </c>
      <c r="F416" s="4" t="s">
        <v>62</v>
      </c>
      <c r="G416" s="4" t="s">
        <v>870</v>
      </c>
      <c r="H416" s="23"/>
      <c r="I416" s="23"/>
    </row>
    <row r="417" spans="1:9" ht="15.75" x14ac:dyDescent="0.25">
      <c r="A417" s="2" t="s">
        <v>871</v>
      </c>
      <c r="B417" s="2" t="s">
        <v>1187</v>
      </c>
      <c r="C417" s="3">
        <v>4351</v>
      </c>
      <c r="D417" s="3">
        <v>5970</v>
      </c>
      <c r="E417" s="2" t="s">
        <v>1199</v>
      </c>
      <c r="F417" s="4" t="s">
        <v>19</v>
      </c>
      <c r="G417" s="4" t="s">
        <v>872</v>
      </c>
      <c r="H417" s="23"/>
      <c r="I417" s="23"/>
    </row>
    <row r="418" spans="1:9" ht="15.75" x14ac:dyDescent="0.25">
      <c r="A418" s="2" t="s">
        <v>873</v>
      </c>
      <c r="B418" s="2" t="s">
        <v>1187</v>
      </c>
      <c r="C418" s="3">
        <v>6071</v>
      </c>
      <c r="D418" s="3">
        <v>5076</v>
      </c>
      <c r="E418" s="2" t="s">
        <v>1218</v>
      </c>
      <c r="F418" s="4" t="s">
        <v>48</v>
      </c>
      <c r="G418" s="4" t="s">
        <v>874</v>
      </c>
      <c r="H418" s="23"/>
      <c r="I418" s="23"/>
    </row>
    <row r="419" spans="1:9" ht="15.75" x14ac:dyDescent="0.25">
      <c r="A419" s="2" t="s">
        <v>875</v>
      </c>
      <c r="B419" s="2" t="s">
        <v>1187</v>
      </c>
      <c r="C419" s="3">
        <v>1124</v>
      </c>
      <c r="D419" s="3">
        <v>4251</v>
      </c>
      <c r="E419" s="2" t="s">
        <v>1204</v>
      </c>
      <c r="F419" s="4" t="s">
        <v>16</v>
      </c>
      <c r="G419" s="4" t="s">
        <v>876</v>
      </c>
      <c r="H419" s="23"/>
      <c r="I419" s="23"/>
    </row>
    <row r="420" spans="1:9" ht="15.75" x14ac:dyDescent="0.25">
      <c r="A420" s="2" t="s">
        <v>877</v>
      </c>
      <c r="B420" s="2" t="s">
        <v>1187</v>
      </c>
      <c r="C420" s="3">
        <v>1104</v>
      </c>
      <c r="D420" s="3">
        <v>4928</v>
      </c>
      <c r="E420" s="2" t="s">
        <v>1204</v>
      </c>
      <c r="F420" s="4" t="s">
        <v>68</v>
      </c>
      <c r="G420" s="4" t="s">
        <v>878</v>
      </c>
      <c r="H420" s="23"/>
      <c r="I420" s="23"/>
    </row>
    <row r="421" spans="1:9" ht="15.75" x14ac:dyDescent="0.25">
      <c r="A421" s="2" t="s">
        <v>879</v>
      </c>
      <c r="B421" s="2" t="s">
        <v>1187</v>
      </c>
      <c r="C421" s="3">
        <v>3926</v>
      </c>
      <c r="D421" s="3">
        <v>5157</v>
      </c>
      <c r="E421" s="2" t="s">
        <v>1204</v>
      </c>
      <c r="F421" s="4" t="s">
        <v>68</v>
      </c>
      <c r="G421" s="4" t="s">
        <v>880</v>
      </c>
      <c r="H421" s="23"/>
      <c r="I421" s="23"/>
    </row>
    <row r="422" spans="1:9" ht="15.75" x14ac:dyDescent="0.25">
      <c r="A422" s="2" t="s">
        <v>881</v>
      </c>
      <c r="B422" s="2" t="s">
        <v>1187</v>
      </c>
      <c r="C422" s="3">
        <v>6428</v>
      </c>
      <c r="D422" s="3">
        <v>2802</v>
      </c>
      <c r="E422" s="2" t="s">
        <v>1204</v>
      </c>
      <c r="F422" s="4" t="s">
        <v>68</v>
      </c>
      <c r="G422" s="4" t="s">
        <v>882</v>
      </c>
      <c r="H422" s="23"/>
      <c r="I422" s="23"/>
    </row>
    <row r="423" spans="1:9" ht="15.75" x14ac:dyDescent="0.25">
      <c r="A423" s="2" t="s">
        <v>883</v>
      </c>
      <c r="B423" s="2" t="s">
        <v>1187</v>
      </c>
      <c r="C423" s="3">
        <v>3338</v>
      </c>
      <c r="D423" s="3">
        <v>3850</v>
      </c>
      <c r="E423" s="2" t="s">
        <v>1204</v>
      </c>
      <c r="F423" s="4" t="s">
        <v>68</v>
      </c>
      <c r="G423" s="4" t="s">
        <v>884</v>
      </c>
      <c r="H423" s="23"/>
      <c r="I423" s="23"/>
    </row>
    <row r="424" spans="1:9" ht="15.75" x14ac:dyDescent="0.25">
      <c r="A424" s="2" t="s">
        <v>885</v>
      </c>
      <c r="B424" s="2" t="s">
        <v>1187</v>
      </c>
      <c r="C424" s="3">
        <v>4389</v>
      </c>
      <c r="D424" s="3">
        <v>4373</v>
      </c>
      <c r="E424" s="2" t="s">
        <v>1218</v>
      </c>
      <c r="F424" s="4" t="s">
        <v>606</v>
      </c>
      <c r="G424" s="4" t="s">
        <v>886</v>
      </c>
      <c r="H424" s="23"/>
      <c r="I424" s="23"/>
    </row>
    <row r="425" spans="1:9" ht="15.75" x14ac:dyDescent="0.25">
      <c r="A425" s="2" t="s">
        <v>887</v>
      </c>
      <c r="B425" s="2" t="s">
        <v>1187</v>
      </c>
      <c r="C425" s="3">
        <v>2172</v>
      </c>
      <c r="D425" s="3">
        <v>1075</v>
      </c>
      <c r="E425" s="2" t="s">
        <v>1204</v>
      </c>
      <c r="F425" s="4" t="s">
        <v>16</v>
      </c>
      <c r="G425" s="4" t="s">
        <v>888</v>
      </c>
      <c r="H425" s="23"/>
      <c r="I425" s="23"/>
    </row>
    <row r="426" spans="1:9" ht="15.75" x14ac:dyDescent="0.25">
      <c r="A426" s="2" t="s">
        <v>889</v>
      </c>
      <c r="B426" s="2" t="s">
        <v>1187</v>
      </c>
      <c r="C426" s="3">
        <v>5404</v>
      </c>
      <c r="D426" s="3">
        <v>2701</v>
      </c>
      <c r="E426" s="2" t="s">
        <v>1218</v>
      </c>
      <c r="F426" s="4" t="s">
        <v>890</v>
      </c>
      <c r="G426" s="4" t="s">
        <v>891</v>
      </c>
      <c r="H426" s="23"/>
      <c r="I426" s="23"/>
    </row>
    <row r="427" spans="1:9" ht="15.75" x14ac:dyDescent="0.25">
      <c r="A427" s="2" t="s">
        <v>892</v>
      </c>
      <c r="B427" s="2" t="s">
        <v>1187</v>
      </c>
      <c r="C427" s="3">
        <v>3020</v>
      </c>
      <c r="D427" s="3">
        <v>5413</v>
      </c>
      <c r="E427" s="2" t="s">
        <v>1204</v>
      </c>
      <c r="F427" s="4" t="s">
        <v>68</v>
      </c>
      <c r="G427" s="4" t="s">
        <v>893</v>
      </c>
      <c r="H427" s="23"/>
      <c r="I427" s="23"/>
    </row>
    <row r="428" spans="1:9" ht="15.75" x14ac:dyDescent="0.25">
      <c r="A428" s="2" t="s">
        <v>1177</v>
      </c>
      <c r="B428" s="2" t="s">
        <v>1187</v>
      </c>
      <c r="C428" s="3">
        <v>2122</v>
      </c>
      <c r="D428" s="3">
        <v>5795</v>
      </c>
      <c r="E428" s="2" t="s">
        <v>338</v>
      </c>
      <c r="F428" s="4" t="s">
        <v>825</v>
      </c>
      <c r="G428" s="4" t="s">
        <v>899</v>
      </c>
      <c r="H428" s="23"/>
      <c r="I428" s="23"/>
    </row>
    <row r="429" spans="1:9" ht="15.75" x14ac:dyDescent="0.25">
      <c r="A429" s="2" t="s">
        <v>894</v>
      </c>
      <c r="B429" s="2" t="s">
        <v>1187</v>
      </c>
      <c r="C429" s="3">
        <v>1453</v>
      </c>
      <c r="D429" s="3">
        <v>3167</v>
      </c>
      <c r="E429" s="2" t="s">
        <v>1678</v>
      </c>
      <c r="F429" s="4" t="s">
        <v>135</v>
      </c>
      <c r="G429" s="4" t="s">
        <v>895</v>
      </c>
      <c r="H429" s="23"/>
      <c r="I429" s="23"/>
    </row>
    <row r="430" spans="1:9" ht="15.75" x14ac:dyDescent="0.25">
      <c r="A430" s="2" t="s">
        <v>896</v>
      </c>
      <c r="B430" s="2" t="s">
        <v>1187</v>
      </c>
      <c r="C430" s="3">
        <v>4458</v>
      </c>
      <c r="D430" s="3">
        <v>6068</v>
      </c>
      <c r="E430" s="2" t="s">
        <v>1204</v>
      </c>
      <c r="F430" s="4" t="s">
        <v>68</v>
      </c>
      <c r="G430" s="4" t="s">
        <v>897</v>
      </c>
      <c r="H430" s="23"/>
      <c r="I430" s="23"/>
    </row>
    <row r="431" spans="1:9" ht="15.75" x14ac:dyDescent="0.25">
      <c r="A431" s="2" t="s">
        <v>900</v>
      </c>
      <c r="B431" s="2" t="s">
        <v>1187</v>
      </c>
      <c r="C431" s="3">
        <v>472</v>
      </c>
      <c r="D431" s="3">
        <v>3339</v>
      </c>
      <c r="E431" s="2" t="s">
        <v>1218</v>
      </c>
      <c r="F431" s="4" t="s">
        <v>54</v>
      </c>
      <c r="G431" s="4" t="s">
        <v>901</v>
      </c>
      <c r="H431" s="23"/>
      <c r="I431" s="23"/>
    </row>
    <row r="432" spans="1:9" ht="15.75" x14ac:dyDescent="0.25">
      <c r="A432" s="2" t="s">
        <v>902</v>
      </c>
      <c r="B432" s="2" t="s">
        <v>1187</v>
      </c>
      <c r="C432" s="3">
        <v>4091</v>
      </c>
      <c r="D432" s="3">
        <v>2219</v>
      </c>
      <c r="E432" s="2" t="s">
        <v>1680</v>
      </c>
      <c r="F432" s="4" t="s">
        <v>273</v>
      </c>
      <c r="G432" s="4" t="s">
        <v>903</v>
      </c>
      <c r="H432" s="23"/>
      <c r="I432" s="23"/>
    </row>
    <row r="433" spans="1:9" ht="15.75" x14ac:dyDescent="0.25">
      <c r="A433" s="2" t="s">
        <v>904</v>
      </c>
      <c r="B433" s="2" t="s">
        <v>1187</v>
      </c>
      <c r="C433" s="3">
        <v>4343</v>
      </c>
      <c r="D433" s="3">
        <v>2372</v>
      </c>
      <c r="E433" s="2" t="s">
        <v>1204</v>
      </c>
      <c r="F433" s="4" t="s">
        <v>68</v>
      </c>
      <c r="G433" s="4" t="s">
        <v>905</v>
      </c>
      <c r="H433" s="23"/>
      <c r="I433" s="23"/>
    </row>
    <row r="434" spans="1:9" ht="15.75" x14ac:dyDescent="0.25">
      <c r="A434" s="2" t="s">
        <v>906</v>
      </c>
      <c r="B434" s="2" t="s">
        <v>1187</v>
      </c>
      <c r="C434" s="3">
        <v>2264</v>
      </c>
      <c r="D434" s="3">
        <v>4937</v>
      </c>
      <c r="E434" s="2" t="s">
        <v>1218</v>
      </c>
      <c r="F434" s="4" t="s">
        <v>198</v>
      </c>
      <c r="G434" s="4" t="s">
        <v>907</v>
      </c>
      <c r="H434" s="23"/>
      <c r="I434" s="23"/>
    </row>
    <row r="435" spans="1:9" ht="15.75" x14ac:dyDescent="0.25">
      <c r="A435" s="2" t="s">
        <v>908</v>
      </c>
      <c r="B435" s="2" t="s">
        <v>1187</v>
      </c>
      <c r="C435" s="3">
        <v>4016</v>
      </c>
      <c r="D435" s="3">
        <v>5662</v>
      </c>
      <c r="E435" s="2" t="s">
        <v>1204</v>
      </c>
      <c r="F435" s="4" t="s">
        <v>68</v>
      </c>
      <c r="G435" s="4" t="s">
        <v>909</v>
      </c>
      <c r="H435" s="23"/>
      <c r="I435" s="23"/>
    </row>
    <row r="436" spans="1:9" ht="15.75" x14ac:dyDescent="0.25">
      <c r="A436" s="2" t="s">
        <v>910</v>
      </c>
      <c r="B436" s="2" t="s">
        <v>1187</v>
      </c>
      <c r="C436" s="3">
        <v>2474</v>
      </c>
      <c r="D436" s="3">
        <v>4386</v>
      </c>
      <c r="E436" s="2" t="s">
        <v>22</v>
      </c>
      <c r="F436" s="4" t="s">
        <v>22</v>
      </c>
      <c r="G436" s="4" t="s">
        <v>911</v>
      </c>
      <c r="H436" s="23"/>
      <c r="I436" s="23"/>
    </row>
    <row r="437" spans="1:9" ht="15.75" x14ac:dyDescent="0.25">
      <c r="A437" s="2" t="s">
        <v>912</v>
      </c>
      <c r="B437" s="2" t="s">
        <v>1187</v>
      </c>
      <c r="C437" s="3">
        <v>3635</v>
      </c>
      <c r="D437" s="3">
        <v>4556</v>
      </c>
      <c r="E437" s="2" t="s">
        <v>1204</v>
      </c>
      <c r="F437" s="4" t="s">
        <v>913</v>
      </c>
      <c r="G437" s="4" t="s">
        <v>914</v>
      </c>
      <c r="H437" s="23"/>
      <c r="I437" s="23"/>
    </row>
    <row r="438" spans="1:9" ht="15.75" x14ac:dyDescent="0.25">
      <c r="A438" s="2" t="s">
        <v>1178</v>
      </c>
      <c r="B438" s="2" t="s">
        <v>1187</v>
      </c>
      <c r="C438" s="3">
        <v>4650</v>
      </c>
      <c r="D438" s="3">
        <v>6259</v>
      </c>
      <c r="E438" s="2" t="s">
        <v>70</v>
      </c>
      <c r="F438" s="4" t="s">
        <v>369</v>
      </c>
      <c r="G438" s="4" t="s">
        <v>915</v>
      </c>
      <c r="H438" s="23"/>
      <c r="I438" s="23"/>
    </row>
    <row r="439" spans="1:9" ht="15.75" x14ac:dyDescent="0.25">
      <c r="A439" s="2" t="s">
        <v>1179</v>
      </c>
      <c r="B439" s="2" t="s">
        <v>1187</v>
      </c>
      <c r="C439" s="3">
        <v>3638</v>
      </c>
      <c r="D439" s="3">
        <v>6154</v>
      </c>
      <c r="E439" s="2" t="s">
        <v>70</v>
      </c>
      <c r="F439" s="4" t="s">
        <v>132</v>
      </c>
      <c r="G439" s="4" t="s">
        <v>916</v>
      </c>
      <c r="H439" s="23"/>
      <c r="I439" s="23"/>
    </row>
    <row r="440" spans="1:9" ht="15.75" x14ac:dyDescent="0.25">
      <c r="A440" s="2" t="s">
        <v>917</v>
      </c>
      <c r="B440" s="2" t="s">
        <v>1187</v>
      </c>
      <c r="C440" s="3">
        <v>5780</v>
      </c>
      <c r="D440" s="3">
        <v>2203</v>
      </c>
      <c r="E440" s="2" t="s">
        <v>1204</v>
      </c>
      <c r="F440" s="4" t="s">
        <v>16</v>
      </c>
      <c r="G440" s="4" t="s">
        <v>918</v>
      </c>
      <c r="H440" s="23"/>
      <c r="I440" s="23"/>
    </row>
    <row r="441" spans="1:9" ht="15.75" x14ac:dyDescent="0.25">
      <c r="A441" s="2" t="s">
        <v>919</v>
      </c>
      <c r="B441" s="2" t="s">
        <v>1187</v>
      </c>
      <c r="C441" s="3">
        <v>2343</v>
      </c>
      <c r="D441" s="3">
        <v>4264</v>
      </c>
      <c r="E441" s="2" t="s">
        <v>1218</v>
      </c>
      <c r="F441" s="4" t="s">
        <v>241</v>
      </c>
      <c r="G441" s="4" t="s">
        <v>920</v>
      </c>
      <c r="H441" s="23"/>
      <c r="I441" s="23"/>
    </row>
    <row r="442" spans="1:9" ht="15.75" x14ac:dyDescent="0.25">
      <c r="A442" s="2" t="s">
        <v>921</v>
      </c>
      <c r="B442" s="2" t="s">
        <v>1187</v>
      </c>
      <c r="C442" s="3">
        <v>1029</v>
      </c>
      <c r="D442" s="3">
        <v>4982</v>
      </c>
      <c r="E442" s="2" t="s">
        <v>1204</v>
      </c>
      <c r="F442" s="4" t="s">
        <v>68</v>
      </c>
      <c r="G442" s="4" t="s">
        <v>922</v>
      </c>
      <c r="H442" s="23"/>
      <c r="I442" s="23"/>
    </row>
    <row r="443" spans="1:9" ht="15.75" x14ac:dyDescent="0.25">
      <c r="A443" s="2" t="s">
        <v>923</v>
      </c>
      <c r="B443" s="2" t="s">
        <v>1187</v>
      </c>
      <c r="C443" s="3">
        <v>504</v>
      </c>
      <c r="D443" s="3">
        <v>3579</v>
      </c>
      <c r="E443" s="2" t="s">
        <v>1218</v>
      </c>
      <c r="F443" s="4" t="s">
        <v>30</v>
      </c>
      <c r="G443" s="4" t="s">
        <v>924</v>
      </c>
      <c r="H443" s="23"/>
      <c r="I443" s="23"/>
    </row>
    <row r="444" spans="1:9" ht="15.75" x14ac:dyDescent="0.25">
      <c r="A444" s="2" t="s">
        <v>925</v>
      </c>
      <c r="B444" s="2" t="s">
        <v>1187</v>
      </c>
      <c r="C444" s="3">
        <v>1177</v>
      </c>
      <c r="D444" s="3">
        <v>4716</v>
      </c>
      <c r="E444" s="2" t="s">
        <v>1204</v>
      </c>
      <c r="F444" s="4" t="s">
        <v>16</v>
      </c>
      <c r="G444" s="4" t="s">
        <v>926</v>
      </c>
      <c r="H444" s="23"/>
      <c r="I444" s="23"/>
    </row>
    <row r="445" spans="1:9" ht="15.75" x14ac:dyDescent="0.25">
      <c r="A445" s="2" t="s">
        <v>927</v>
      </c>
      <c r="B445" s="2" t="s">
        <v>1187</v>
      </c>
      <c r="C445" s="3">
        <v>1668</v>
      </c>
      <c r="D445" s="3">
        <v>3199</v>
      </c>
      <c r="E445" s="2" t="s">
        <v>1218</v>
      </c>
      <c r="F445" s="4" t="s">
        <v>140</v>
      </c>
      <c r="G445" s="4" t="s">
        <v>928</v>
      </c>
      <c r="H445" s="23"/>
      <c r="I445" s="23"/>
    </row>
    <row r="446" spans="1:9" ht="15.75" x14ac:dyDescent="0.25">
      <c r="A446" s="2" t="s">
        <v>929</v>
      </c>
      <c r="B446" s="2" t="s">
        <v>1187</v>
      </c>
      <c r="C446" s="3">
        <v>2853</v>
      </c>
      <c r="D446" s="3">
        <v>5374</v>
      </c>
      <c r="E446" s="2" t="s">
        <v>1204</v>
      </c>
      <c r="F446" s="4" t="s">
        <v>68</v>
      </c>
      <c r="G446" s="4" t="s">
        <v>930</v>
      </c>
      <c r="H446" s="23"/>
      <c r="I446" s="23"/>
    </row>
    <row r="447" spans="1:9" ht="15.75" x14ac:dyDescent="0.25">
      <c r="A447" s="2" t="s">
        <v>931</v>
      </c>
      <c r="B447" s="2" t="s">
        <v>1187</v>
      </c>
      <c r="C447" s="3">
        <v>1528</v>
      </c>
      <c r="D447" s="3">
        <v>4312</v>
      </c>
      <c r="E447" s="2" t="s">
        <v>1197</v>
      </c>
      <c r="F447" s="4" t="s">
        <v>442</v>
      </c>
      <c r="G447" s="4" t="s">
        <v>932</v>
      </c>
      <c r="H447" s="23"/>
      <c r="I447" s="23"/>
    </row>
    <row r="448" spans="1:9" ht="15.75" x14ac:dyDescent="0.25">
      <c r="A448" s="2" t="s">
        <v>933</v>
      </c>
      <c r="B448" s="2" t="s">
        <v>1187</v>
      </c>
      <c r="C448" s="3">
        <v>1817</v>
      </c>
      <c r="D448" s="3">
        <v>3416</v>
      </c>
      <c r="E448" s="2" t="s">
        <v>1204</v>
      </c>
      <c r="F448" s="4" t="s">
        <v>68</v>
      </c>
      <c r="G448" s="4" t="s">
        <v>934</v>
      </c>
      <c r="H448" s="23"/>
      <c r="I448" s="23"/>
    </row>
    <row r="449" spans="1:9" ht="15.75" x14ac:dyDescent="0.25">
      <c r="A449" s="2" t="s">
        <v>935</v>
      </c>
      <c r="B449" s="2" t="s">
        <v>1187</v>
      </c>
      <c r="C449" s="3">
        <v>1935</v>
      </c>
      <c r="D449" s="3">
        <v>3919</v>
      </c>
      <c r="E449" s="2" t="s">
        <v>338</v>
      </c>
      <c r="F449" s="4" t="s">
        <v>338</v>
      </c>
      <c r="G449" s="4" t="s">
        <v>936</v>
      </c>
      <c r="H449" s="23"/>
      <c r="I449" s="23"/>
    </row>
    <row r="450" spans="1:9" ht="15.75" x14ac:dyDescent="0.25">
      <c r="A450" s="2" t="s">
        <v>937</v>
      </c>
      <c r="B450" s="2" t="s">
        <v>1187</v>
      </c>
      <c r="C450" s="3">
        <v>4133</v>
      </c>
      <c r="D450" s="3">
        <v>5557</v>
      </c>
      <c r="E450" s="2" t="s">
        <v>1204</v>
      </c>
      <c r="F450" s="4" t="s">
        <v>16</v>
      </c>
      <c r="G450" s="4" t="s">
        <v>938</v>
      </c>
      <c r="H450" s="23"/>
      <c r="I450" s="23"/>
    </row>
    <row r="451" spans="1:9" ht="15.75" x14ac:dyDescent="0.25">
      <c r="A451" s="2" t="s">
        <v>939</v>
      </c>
      <c r="B451" s="2" t="s">
        <v>1187</v>
      </c>
      <c r="C451" s="3">
        <v>3857</v>
      </c>
      <c r="D451" s="3">
        <v>4868</v>
      </c>
      <c r="E451" s="2" t="s">
        <v>1199</v>
      </c>
      <c r="F451" s="4" t="s">
        <v>19</v>
      </c>
      <c r="G451" s="4" t="s">
        <v>940</v>
      </c>
      <c r="H451" s="23"/>
      <c r="I451" s="23"/>
    </row>
    <row r="452" spans="1:9" ht="15.75" x14ac:dyDescent="0.25">
      <c r="A452" s="2" t="s">
        <v>941</v>
      </c>
      <c r="B452" s="2" t="s">
        <v>1187</v>
      </c>
      <c r="C452" s="3">
        <v>4632</v>
      </c>
      <c r="D452" s="3">
        <v>2472</v>
      </c>
      <c r="E452" s="2" t="s">
        <v>1204</v>
      </c>
      <c r="F452" s="4" t="s">
        <v>68</v>
      </c>
      <c r="G452" s="4" t="s">
        <v>942</v>
      </c>
      <c r="H452" s="23"/>
      <c r="I452" s="23"/>
    </row>
    <row r="453" spans="1:9" ht="15.75" x14ac:dyDescent="0.25">
      <c r="A453" s="2" t="s">
        <v>943</v>
      </c>
      <c r="B453" s="2" t="s">
        <v>1187</v>
      </c>
      <c r="C453" s="3">
        <v>5530</v>
      </c>
      <c r="D453" s="3">
        <v>2215</v>
      </c>
      <c r="E453" s="2" t="s">
        <v>1204</v>
      </c>
      <c r="F453" s="4" t="s">
        <v>16</v>
      </c>
      <c r="G453" s="4" t="s">
        <v>944</v>
      </c>
      <c r="H453" s="23"/>
      <c r="I453" s="23"/>
    </row>
    <row r="454" spans="1:9" ht="15.75" x14ac:dyDescent="0.25">
      <c r="A454" s="2" t="s">
        <v>945</v>
      </c>
      <c r="B454" s="2" t="s">
        <v>1187</v>
      </c>
      <c r="C454" s="3">
        <v>1338</v>
      </c>
      <c r="D454" s="3">
        <v>3611</v>
      </c>
      <c r="E454" s="2" t="s">
        <v>1204</v>
      </c>
      <c r="F454" s="4" t="s">
        <v>16</v>
      </c>
      <c r="G454" s="4" t="s">
        <v>946</v>
      </c>
      <c r="H454" s="23"/>
      <c r="I454" s="23"/>
    </row>
    <row r="455" spans="1:9" ht="15.75" x14ac:dyDescent="0.25">
      <c r="A455" s="2" t="s">
        <v>947</v>
      </c>
      <c r="B455" s="2" t="s">
        <v>1187</v>
      </c>
      <c r="C455" s="3">
        <v>6068</v>
      </c>
      <c r="D455" s="3">
        <v>1948</v>
      </c>
      <c r="E455" s="2" t="s">
        <v>1204</v>
      </c>
      <c r="F455" s="4" t="s">
        <v>16</v>
      </c>
      <c r="G455" s="4" t="s">
        <v>948</v>
      </c>
      <c r="H455" s="23"/>
      <c r="I455" s="23"/>
    </row>
    <row r="456" spans="1:9" ht="15.75" x14ac:dyDescent="0.25">
      <c r="A456" s="2" t="s">
        <v>949</v>
      </c>
      <c r="B456" s="2" t="s">
        <v>1187</v>
      </c>
      <c r="C456" s="3">
        <v>3056</v>
      </c>
      <c r="D456" s="3">
        <v>5495</v>
      </c>
      <c r="E456" s="2" t="s">
        <v>1204</v>
      </c>
      <c r="F456" s="4" t="s">
        <v>16</v>
      </c>
      <c r="G456" s="4" t="s">
        <v>950</v>
      </c>
      <c r="H456" s="23"/>
      <c r="I456" s="23"/>
    </row>
    <row r="457" spans="1:9" ht="15.75" x14ac:dyDescent="0.25">
      <c r="A457" s="2" t="s">
        <v>951</v>
      </c>
      <c r="B457" s="2" t="s">
        <v>1187</v>
      </c>
      <c r="C457" s="3">
        <v>707</v>
      </c>
      <c r="D457" s="3">
        <v>3546</v>
      </c>
      <c r="E457" s="2" t="s">
        <v>1218</v>
      </c>
      <c r="F457" s="4" t="s">
        <v>62</v>
      </c>
      <c r="G457" s="4" t="s">
        <v>952</v>
      </c>
      <c r="H457" s="23"/>
      <c r="I457" s="23"/>
    </row>
    <row r="458" spans="1:9" ht="15.75" x14ac:dyDescent="0.25">
      <c r="A458" s="2" t="s">
        <v>953</v>
      </c>
      <c r="B458" s="2" t="s">
        <v>1187</v>
      </c>
      <c r="C458" s="3">
        <v>2155</v>
      </c>
      <c r="D458" s="3">
        <v>4982</v>
      </c>
      <c r="E458" s="2" t="s">
        <v>1218</v>
      </c>
      <c r="F458" s="4" t="s">
        <v>177</v>
      </c>
      <c r="G458" s="4" t="s">
        <v>954</v>
      </c>
      <c r="H458" s="23"/>
      <c r="I458" s="23"/>
    </row>
    <row r="459" spans="1:9" ht="15.75" x14ac:dyDescent="0.25">
      <c r="A459" s="2" t="s">
        <v>955</v>
      </c>
      <c r="B459" s="2" t="s">
        <v>1187</v>
      </c>
      <c r="C459" s="3">
        <v>471</v>
      </c>
      <c r="D459" s="3">
        <v>3751</v>
      </c>
      <c r="E459" s="2" t="s">
        <v>1218</v>
      </c>
      <c r="F459" s="4" t="s">
        <v>306</v>
      </c>
      <c r="G459" s="4" t="s">
        <v>956</v>
      </c>
      <c r="H459" s="23"/>
      <c r="I459" s="23"/>
    </row>
    <row r="460" spans="1:9" ht="15.75" x14ac:dyDescent="0.25">
      <c r="A460" s="2" t="s">
        <v>957</v>
      </c>
      <c r="B460" s="2" t="s">
        <v>1187</v>
      </c>
      <c r="C460" s="3">
        <v>1623</v>
      </c>
      <c r="D460" s="3">
        <v>3205</v>
      </c>
      <c r="E460" s="2" t="s">
        <v>1218</v>
      </c>
      <c r="F460" s="4" t="s">
        <v>54</v>
      </c>
      <c r="G460" s="4" t="s">
        <v>958</v>
      </c>
      <c r="H460" s="23"/>
      <c r="I460" s="23"/>
    </row>
    <row r="461" spans="1:9" ht="15.75" x14ac:dyDescent="0.25">
      <c r="A461" s="2" t="s">
        <v>959</v>
      </c>
      <c r="B461" s="2" t="s">
        <v>1187</v>
      </c>
      <c r="C461" s="3">
        <v>5952</v>
      </c>
      <c r="D461" s="3">
        <v>5206</v>
      </c>
      <c r="E461" s="2" t="s">
        <v>1204</v>
      </c>
      <c r="F461" s="4" t="s">
        <v>68</v>
      </c>
      <c r="G461" s="4" t="s">
        <v>960</v>
      </c>
      <c r="H461" s="23"/>
      <c r="I461" s="23"/>
    </row>
    <row r="462" spans="1:9" ht="15.75" x14ac:dyDescent="0.25">
      <c r="A462" s="2" t="s">
        <v>1125</v>
      </c>
      <c r="B462" s="2" t="s">
        <v>1187</v>
      </c>
      <c r="C462" s="3">
        <v>3544</v>
      </c>
      <c r="D462" s="3">
        <v>2467</v>
      </c>
      <c r="E462" s="2" t="s">
        <v>1204</v>
      </c>
      <c r="F462" s="4" t="s">
        <v>1125</v>
      </c>
      <c r="G462" s="4" t="s">
        <v>1126</v>
      </c>
      <c r="H462" s="23"/>
      <c r="I462" s="23"/>
    </row>
    <row r="463" spans="1:9" ht="15.75" x14ac:dyDescent="0.25">
      <c r="A463" s="2" t="s">
        <v>961</v>
      </c>
      <c r="B463" s="2" t="s">
        <v>1187</v>
      </c>
      <c r="C463" s="3">
        <v>5146</v>
      </c>
      <c r="D463" s="3">
        <v>3046</v>
      </c>
      <c r="E463" s="2" t="s">
        <v>338</v>
      </c>
      <c r="F463" s="4" t="s">
        <v>338</v>
      </c>
      <c r="G463" s="4" t="s">
        <v>962</v>
      </c>
      <c r="H463" s="23"/>
      <c r="I463" s="23"/>
    </row>
    <row r="464" spans="1:9" ht="15.75" x14ac:dyDescent="0.25">
      <c r="A464" s="2" t="s">
        <v>963</v>
      </c>
      <c r="B464" s="2" t="s">
        <v>1187</v>
      </c>
      <c r="C464" s="3">
        <v>6114</v>
      </c>
      <c r="D464" s="3">
        <v>4887</v>
      </c>
      <c r="E464" s="2" t="s">
        <v>1218</v>
      </c>
      <c r="F464" s="4" t="s">
        <v>208</v>
      </c>
      <c r="G464" s="4" t="s">
        <v>964</v>
      </c>
      <c r="H464" s="23"/>
      <c r="I464" s="23"/>
    </row>
    <row r="465" spans="1:9" ht="15.75" x14ac:dyDescent="0.25">
      <c r="A465" s="2" t="s">
        <v>965</v>
      </c>
      <c r="B465" s="2" t="s">
        <v>1187</v>
      </c>
      <c r="C465" s="3">
        <v>6004</v>
      </c>
      <c r="D465" s="3">
        <v>5691</v>
      </c>
      <c r="E465" s="2" t="s">
        <v>338</v>
      </c>
      <c r="F465" s="4" t="s">
        <v>966</v>
      </c>
      <c r="G465" s="4" t="s">
        <v>967</v>
      </c>
      <c r="H465" s="23"/>
      <c r="I465" s="23"/>
    </row>
    <row r="466" spans="1:9" ht="15.75" x14ac:dyDescent="0.25">
      <c r="A466" s="2" t="s">
        <v>968</v>
      </c>
      <c r="B466" s="2" t="s">
        <v>1187</v>
      </c>
      <c r="C466" s="3">
        <v>1044</v>
      </c>
      <c r="D466" s="3">
        <v>3552</v>
      </c>
      <c r="E466" s="2" t="s">
        <v>1218</v>
      </c>
      <c r="F466" s="4" t="s">
        <v>969</v>
      </c>
      <c r="G466" s="4" t="s">
        <v>970</v>
      </c>
      <c r="H466" s="23"/>
      <c r="I466" s="23"/>
    </row>
    <row r="467" spans="1:9" ht="15.75" x14ac:dyDescent="0.25">
      <c r="A467" s="2" t="s">
        <v>971</v>
      </c>
      <c r="B467" s="2" t="s">
        <v>1187</v>
      </c>
      <c r="C467" s="3">
        <v>4789</v>
      </c>
      <c r="D467" s="3">
        <v>5934</v>
      </c>
      <c r="E467" s="2" t="s">
        <v>1218</v>
      </c>
      <c r="F467" s="4" t="s">
        <v>62</v>
      </c>
      <c r="G467" s="4" t="s">
        <v>972</v>
      </c>
      <c r="H467" s="23"/>
      <c r="I467" s="23"/>
    </row>
    <row r="468" spans="1:9" ht="15.75" x14ac:dyDescent="0.25">
      <c r="A468" s="2" t="s">
        <v>973</v>
      </c>
      <c r="B468" s="2" t="s">
        <v>1187</v>
      </c>
      <c r="C468" s="3">
        <v>6001</v>
      </c>
      <c r="D468" s="3">
        <v>3045</v>
      </c>
      <c r="E468" s="2" t="s">
        <v>1204</v>
      </c>
      <c r="F468" s="4" t="s">
        <v>68</v>
      </c>
      <c r="G468" s="4" t="s">
        <v>974</v>
      </c>
      <c r="H468" s="23"/>
      <c r="I468" s="23"/>
    </row>
    <row r="469" spans="1:9" ht="15.75" x14ac:dyDescent="0.25">
      <c r="A469" s="2" t="s">
        <v>975</v>
      </c>
      <c r="B469" s="2" t="s">
        <v>1187</v>
      </c>
      <c r="C469" s="3">
        <v>4114</v>
      </c>
      <c r="D469" s="3">
        <v>6575</v>
      </c>
      <c r="E469" s="2" t="s">
        <v>1204</v>
      </c>
      <c r="F469" s="4" t="s">
        <v>68</v>
      </c>
      <c r="G469" s="4" t="s">
        <v>976</v>
      </c>
      <c r="H469" s="23"/>
      <c r="I469" s="23"/>
    </row>
    <row r="470" spans="1:9" ht="15.75" x14ac:dyDescent="0.25">
      <c r="A470" s="2" t="s">
        <v>977</v>
      </c>
      <c r="B470" s="2" t="s">
        <v>1187</v>
      </c>
      <c r="C470" s="3">
        <v>1484</v>
      </c>
      <c r="D470" s="3">
        <v>4688</v>
      </c>
      <c r="E470" s="2" t="s">
        <v>1204</v>
      </c>
      <c r="F470" s="4" t="s">
        <v>16</v>
      </c>
      <c r="G470" s="4" t="s">
        <v>978</v>
      </c>
      <c r="H470" s="23"/>
      <c r="I470" s="23"/>
    </row>
    <row r="471" spans="1:9" ht="15.75" x14ac:dyDescent="0.25">
      <c r="A471" s="2" t="s">
        <v>979</v>
      </c>
      <c r="B471" s="2" t="s">
        <v>1187</v>
      </c>
      <c r="C471" s="3">
        <v>2218</v>
      </c>
      <c r="D471" s="3">
        <v>4306</v>
      </c>
      <c r="E471" s="2" t="s">
        <v>1218</v>
      </c>
      <c r="F471" s="4" t="s">
        <v>241</v>
      </c>
      <c r="G471" s="4" t="s">
        <v>980</v>
      </c>
      <c r="H471" s="23"/>
      <c r="I471" s="23"/>
    </row>
    <row r="472" spans="1:9" ht="15.75" x14ac:dyDescent="0.25">
      <c r="A472" s="2" t="s">
        <v>981</v>
      </c>
      <c r="B472" s="2" t="s">
        <v>1187</v>
      </c>
      <c r="C472" s="3">
        <v>3875</v>
      </c>
      <c r="D472" s="3">
        <v>5253</v>
      </c>
      <c r="E472" s="2" t="s">
        <v>1199</v>
      </c>
      <c r="F472" s="4" t="s">
        <v>19</v>
      </c>
      <c r="G472" s="4" t="s">
        <v>982</v>
      </c>
      <c r="H472" s="23"/>
      <c r="I472" s="23"/>
    </row>
    <row r="473" spans="1:9" ht="15.75" x14ac:dyDescent="0.25">
      <c r="A473" s="2" t="s">
        <v>983</v>
      </c>
      <c r="B473" s="2" t="s">
        <v>1187</v>
      </c>
      <c r="C473" s="3">
        <v>3315</v>
      </c>
      <c r="D473" s="3">
        <v>5692</v>
      </c>
      <c r="E473" s="2" t="s">
        <v>1204</v>
      </c>
      <c r="F473" s="4" t="s">
        <v>68</v>
      </c>
      <c r="G473" s="4" t="s">
        <v>984</v>
      </c>
      <c r="H473" s="23"/>
      <c r="I473" s="23"/>
    </row>
    <row r="474" spans="1:9" ht="15.75" x14ac:dyDescent="0.25">
      <c r="A474" s="2" t="s">
        <v>985</v>
      </c>
      <c r="B474" s="2" t="s">
        <v>1187</v>
      </c>
      <c r="C474" s="3">
        <v>2829</v>
      </c>
      <c r="D474" s="3">
        <v>1973</v>
      </c>
      <c r="E474" s="2" t="s">
        <v>1204</v>
      </c>
      <c r="F474" s="4" t="s">
        <v>68</v>
      </c>
      <c r="G474" s="4" t="s">
        <v>986</v>
      </c>
      <c r="H474" s="23"/>
      <c r="I474" s="23"/>
    </row>
    <row r="475" spans="1:9" ht="15.75" x14ac:dyDescent="0.25">
      <c r="A475" s="2" t="s">
        <v>987</v>
      </c>
      <c r="B475" s="2" t="s">
        <v>1187</v>
      </c>
      <c r="C475" s="3">
        <v>3955</v>
      </c>
      <c r="D475" s="3">
        <v>5252</v>
      </c>
      <c r="E475" s="2" t="s">
        <v>1204</v>
      </c>
      <c r="F475" s="4" t="s">
        <v>68</v>
      </c>
      <c r="G475" s="4" t="s">
        <v>988</v>
      </c>
      <c r="H475" s="23"/>
      <c r="I475" s="23"/>
    </row>
    <row r="476" spans="1:9" ht="15.75" x14ac:dyDescent="0.25">
      <c r="A476" s="2" t="s">
        <v>989</v>
      </c>
      <c r="B476" s="2" t="s">
        <v>1187</v>
      </c>
      <c r="C476" s="3">
        <v>1943</v>
      </c>
      <c r="D476" s="3">
        <v>3796</v>
      </c>
      <c r="E476" s="2" t="s">
        <v>1678</v>
      </c>
      <c r="F476" s="4" t="s">
        <v>157</v>
      </c>
      <c r="G476" s="4" t="s">
        <v>990</v>
      </c>
      <c r="H476" s="23"/>
      <c r="I476" s="23"/>
    </row>
    <row r="477" spans="1:9" ht="15.75" x14ac:dyDescent="0.25">
      <c r="A477" s="2" t="s">
        <v>991</v>
      </c>
      <c r="B477" s="2" t="s">
        <v>1187</v>
      </c>
      <c r="C477" s="3">
        <v>4988</v>
      </c>
      <c r="D477" s="3">
        <v>4449</v>
      </c>
      <c r="E477" s="2" t="s">
        <v>1678</v>
      </c>
      <c r="F477" s="4" t="s">
        <v>157</v>
      </c>
      <c r="G477" s="4" t="s">
        <v>992</v>
      </c>
      <c r="H477" s="23"/>
      <c r="I477" s="23"/>
    </row>
    <row r="478" spans="1:9" ht="15.75" x14ac:dyDescent="0.25">
      <c r="A478" s="2" t="s">
        <v>993</v>
      </c>
      <c r="B478" s="2" t="s">
        <v>1187</v>
      </c>
      <c r="C478" s="3">
        <v>2331</v>
      </c>
      <c r="D478" s="3">
        <v>4672</v>
      </c>
      <c r="E478" s="2" t="s">
        <v>1204</v>
      </c>
      <c r="F478" s="4" t="s">
        <v>16</v>
      </c>
      <c r="G478" s="4" t="s">
        <v>994</v>
      </c>
      <c r="H478" s="23"/>
      <c r="I478" s="23"/>
    </row>
    <row r="479" spans="1:9" ht="15.75" x14ac:dyDescent="0.25">
      <c r="A479" s="2" t="s">
        <v>995</v>
      </c>
      <c r="B479" s="2" t="s">
        <v>1187</v>
      </c>
      <c r="C479" s="3">
        <v>6136</v>
      </c>
      <c r="D479" s="3">
        <v>5622</v>
      </c>
      <c r="E479" s="2" t="s">
        <v>1204</v>
      </c>
      <c r="F479" s="4" t="s">
        <v>68</v>
      </c>
      <c r="G479" s="4" t="s">
        <v>996</v>
      </c>
      <c r="H479" s="23"/>
      <c r="I479" s="23"/>
    </row>
    <row r="480" spans="1:9" ht="15.75" x14ac:dyDescent="0.25">
      <c r="A480" s="2" t="s">
        <v>997</v>
      </c>
      <c r="B480" s="2" t="s">
        <v>1187</v>
      </c>
      <c r="C480" s="3">
        <v>3488</v>
      </c>
      <c r="D480" s="3">
        <v>3688</v>
      </c>
      <c r="E480" s="2" t="s">
        <v>1218</v>
      </c>
      <c r="F480" s="4" t="s">
        <v>62</v>
      </c>
      <c r="G480" s="4" t="s">
        <v>998</v>
      </c>
      <c r="H480" s="23"/>
      <c r="I480" s="23"/>
    </row>
    <row r="481" spans="1:9" ht="15.75" x14ac:dyDescent="0.25">
      <c r="A481" s="2" t="s">
        <v>999</v>
      </c>
      <c r="B481" s="2" t="s">
        <v>1187</v>
      </c>
      <c r="C481" s="3">
        <v>1809</v>
      </c>
      <c r="D481" s="3">
        <v>5159</v>
      </c>
      <c r="E481" s="2" t="s">
        <v>1204</v>
      </c>
      <c r="F481" s="4" t="s">
        <v>16</v>
      </c>
      <c r="G481" s="4" t="s">
        <v>1000</v>
      </c>
      <c r="H481" s="23"/>
      <c r="I481" s="23"/>
    </row>
    <row r="482" spans="1:9" ht="15.75" x14ac:dyDescent="0.25">
      <c r="A482" s="2" t="s">
        <v>1001</v>
      </c>
      <c r="B482" s="2" t="s">
        <v>1187</v>
      </c>
      <c r="C482" s="3">
        <v>3952</v>
      </c>
      <c r="D482" s="3">
        <v>5470</v>
      </c>
      <c r="E482" s="2" t="s">
        <v>1677</v>
      </c>
      <c r="F482" s="4" t="s">
        <v>1002</v>
      </c>
      <c r="G482" s="4" t="s">
        <v>1003</v>
      </c>
      <c r="H482" s="23"/>
      <c r="I482" s="23"/>
    </row>
    <row r="483" spans="1:9" ht="15.75" x14ac:dyDescent="0.25">
      <c r="A483" s="2" t="s">
        <v>1004</v>
      </c>
      <c r="B483" s="2" t="s">
        <v>1187</v>
      </c>
      <c r="C483" s="3">
        <v>2657</v>
      </c>
      <c r="D483" s="3">
        <v>3352</v>
      </c>
      <c r="E483" s="2" t="s">
        <v>1678</v>
      </c>
      <c r="F483" s="4" t="s">
        <v>135</v>
      </c>
      <c r="G483" s="4" t="s">
        <v>1005</v>
      </c>
      <c r="H483" s="23"/>
      <c r="I483" s="23"/>
    </row>
    <row r="484" spans="1:9" ht="15.75" x14ac:dyDescent="0.25">
      <c r="A484" s="2" t="s">
        <v>1006</v>
      </c>
      <c r="B484" s="2" t="s">
        <v>1187</v>
      </c>
      <c r="C484" s="3">
        <v>3811</v>
      </c>
      <c r="D484" s="3">
        <v>5107</v>
      </c>
      <c r="E484" s="2" t="s">
        <v>1199</v>
      </c>
      <c r="F484" s="4" t="s">
        <v>19</v>
      </c>
      <c r="G484" s="4" t="s">
        <v>1007</v>
      </c>
      <c r="H484" s="23"/>
      <c r="I484" s="23"/>
    </row>
    <row r="485" spans="1:9" ht="15.75" x14ac:dyDescent="0.25">
      <c r="A485" s="2" t="s">
        <v>1008</v>
      </c>
      <c r="B485" s="2" t="s">
        <v>1187</v>
      </c>
      <c r="C485" s="3">
        <v>3736</v>
      </c>
      <c r="D485" s="3">
        <v>6111</v>
      </c>
      <c r="E485" s="2" t="s">
        <v>1204</v>
      </c>
      <c r="F485" s="4" t="s">
        <v>68</v>
      </c>
      <c r="G485" s="4" t="s">
        <v>1009</v>
      </c>
      <c r="H485" s="23"/>
      <c r="I485" s="23"/>
    </row>
    <row r="486" spans="1:9" ht="15.75" x14ac:dyDescent="0.25">
      <c r="A486" s="2" t="s">
        <v>1010</v>
      </c>
      <c r="B486" s="2" t="s">
        <v>1187</v>
      </c>
      <c r="C486" s="3">
        <v>3255</v>
      </c>
      <c r="D486" s="3">
        <v>3867</v>
      </c>
      <c r="E486" s="2" t="s">
        <v>1197</v>
      </c>
      <c r="F486" s="4" t="s">
        <v>442</v>
      </c>
      <c r="G486" s="4" t="s">
        <v>1011</v>
      </c>
      <c r="H486" s="23"/>
      <c r="I486" s="23"/>
    </row>
    <row r="487" spans="1:9" ht="15.75" x14ac:dyDescent="0.25">
      <c r="A487" s="2" t="s">
        <v>1012</v>
      </c>
      <c r="B487" s="2" t="s">
        <v>1187</v>
      </c>
      <c r="C487" s="3">
        <v>2889</v>
      </c>
      <c r="D487" s="3">
        <v>5784</v>
      </c>
      <c r="E487" s="2" t="s">
        <v>1199</v>
      </c>
      <c r="F487" s="4" t="s">
        <v>276</v>
      </c>
      <c r="G487" s="4" t="s">
        <v>1013</v>
      </c>
      <c r="H487" s="23"/>
      <c r="I487" s="23"/>
    </row>
    <row r="488" spans="1:9" ht="15.75" x14ac:dyDescent="0.25">
      <c r="A488" s="2" t="s">
        <v>1014</v>
      </c>
      <c r="B488" s="2" t="s">
        <v>1187</v>
      </c>
      <c r="C488" s="3">
        <v>3021</v>
      </c>
      <c r="D488" s="3">
        <v>4652</v>
      </c>
      <c r="E488" s="2" t="s">
        <v>1204</v>
      </c>
      <c r="F488" s="4" t="s">
        <v>16</v>
      </c>
      <c r="G488" s="4" t="s">
        <v>1015</v>
      </c>
      <c r="H488" s="23"/>
      <c r="I488" s="23"/>
    </row>
    <row r="489" spans="1:9" ht="15.75" x14ac:dyDescent="0.25">
      <c r="A489" s="2" t="s">
        <v>1016</v>
      </c>
      <c r="B489" s="2" t="s">
        <v>1187</v>
      </c>
      <c r="C489" s="3">
        <v>6169</v>
      </c>
      <c r="D489" s="3">
        <v>5478</v>
      </c>
      <c r="E489" s="2" t="s">
        <v>1204</v>
      </c>
      <c r="F489" s="4" t="s">
        <v>68</v>
      </c>
      <c r="G489" s="4" t="s">
        <v>1017</v>
      </c>
      <c r="H489" s="23"/>
      <c r="I489" s="23"/>
    </row>
    <row r="490" spans="1:9" ht="15.75" x14ac:dyDescent="0.25">
      <c r="A490" s="2" t="s">
        <v>1018</v>
      </c>
      <c r="B490" s="2" t="s">
        <v>1187</v>
      </c>
      <c r="C490" s="3">
        <v>6216</v>
      </c>
      <c r="D490" s="3">
        <v>3373</v>
      </c>
      <c r="E490" s="2" t="s">
        <v>1197</v>
      </c>
      <c r="F490" s="4" t="s">
        <v>442</v>
      </c>
      <c r="G490" s="4" t="s">
        <v>1019</v>
      </c>
      <c r="H490" s="23"/>
      <c r="I490" s="23"/>
    </row>
    <row r="491" spans="1:9" ht="15.75" x14ac:dyDescent="0.25">
      <c r="A491" s="2" t="s">
        <v>1020</v>
      </c>
      <c r="B491" s="2" t="s">
        <v>1187</v>
      </c>
      <c r="C491" s="3">
        <v>4814</v>
      </c>
      <c r="D491" s="3">
        <v>2791</v>
      </c>
      <c r="E491" s="2" t="s">
        <v>1204</v>
      </c>
      <c r="F491" s="4" t="s">
        <v>16</v>
      </c>
      <c r="G491" s="4" t="s">
        <v>1021</v>
      </c>
      <c r="H491" s="23"/>
      <c r="I491" s="23"/>
    </row>
    <row r="492" spans="1:9" ht="15.75" x14ac:dyDescent="0.25">
      <c r="A492" s="2" t="s">
        <v>1022</v>
      </c>
      <c r="B492" s="2" t="s">
        <v>1187</v>
      </c>
      <c r="C492" s="3">
        <v>744</v>
      </c>
      <c r="D492" s="3">
        <v>3121</v>
      </c>
      <c r="E492" s="2" t="s">
        <v>1204</v>
      </c>
      <c r="F492" s="4" t="s">
        <v>68</v>
      </c>
      <c r="G492" s="4" t="s">
        <v>1023</v>
      </c>
      <c r="H492" s="23"/>
      <c r="I492" s="23"/>
    </row>
    <row r="493" spans="1:9" ht="15.75" x14ac:dyDescent="0.25">
      <c r="A493" s="2" t="s">
        <v>1024</v>
      </c>
      <c r="B493" s="2" t="s">
        <v>1187</v>
      </c>
      <c r="C493" s="3">
        <v>1692</v>
      </c>
      <c r="D493" s="3">
        <v>3932</v>
      </c>
      <c r="E493" s="2" t="s">
        <v>22</v>
      </c>
      <c r="F493" s="4" t="s">
        <v>22</v>
      </c>
      <c r="G493" s="4" t="s">
        <v>1025</v>
      </c>
      <c r="H493" s="23"/>
      <c r="I493" s="23"/>
    </row>
    <row r="494" spans="1:9" ht="15.75" x14ac:dyDescent="0.25">
      <c r="A494" s="2" t="s">
        <v>1180</v>
      </c>
      <c r="B494" s="2" t="s">
        <v>1187</v>
      </c>
      <c r="C494" s="3">
        <v>4775</v>
      </c>
      <c r="D494" s="3">
        <v>5955</v>
      </c>
      <c r="E494" s="2" t="s">
        <v>1680</v>
      </c>
      <c r="F494" s="4" t="s">
        <v>273</v>
      </c>
      <c r="G494" s="4" t="s">
        <v>1026</v>
      </c>
      <c r="H494" s="23"/>
      <c r="I494" s="23"/>
    </row>
    <row r="495" spans="1:9" ht="15.75" x14ac:dyDescent="0.25">
      <c r="A495" s="2" t="s">
        <v>1027</v>
      </c>
      <c r="B495" s="2" t="s">
        <v>1187</v>
      </c>
      <c r="C495" s="3">
        <v>2296</v>
      </c>
      <c r="D495" s="3">
        <v>959</v>
      </c>
      <c r="E495" s="2" t="s">
        <v>1218</v>
      </c>
      <c r="F495" s="4" t="s">
        <v>1028</v>
      </c>
      <c r="G495" s="4" t="s">
        <v>1029</v>
      </c>
      <c r="H495" s="23"/>
      <c r="I495" s="23"/>
    </row>
    <row r="496" spans="1:9" ht="15.75" x14ac:dyDescent="0.25">
      <c r="A496" s="2" t="s">
        <v>1030</v>
      </c>
      <c r="B496" s="2" t="s">
        <v>1187</v>
      </c>
      <c r="C496" s="3">
        <v>5489</v>
      </c>
      <c r="D496" s="3">
        <v>1274</v>
      </c>
      <c r="E496" s="2" t="s">
        <v>1677</v>
      </c>
      <c r="F496" s="4" t="s">
        <v>222</v>
      </c>
      <c r="G496" s="4" t="s">
        <v>1031</v>
      </c>
      <c r="H496" s="23"/>
      <c r="I496" s="23"/>
    </row>
    <row r="497" spans="1:9" ht="15.75" x14ac:dyDescent="0.25">
      <c r="A497" s="5" t="s">
        <v>1130</v>
      </c>
      <c r="B497" s="2" t="s">
        <v>1187</v>
      </c>
      <c r="C497" s="3">
        <v>4442</v>
      </c>
      <c r="D497" s="3">
        <v>2128</v>
      </c>
      <c r="E497" s="2" t="s">
        <v>1678</v>
      </c>
      <c r="F497" s="4" t="s">
        <v>238</v>
      </c>
      <c r="G497" s="4" t="s">
        <v>1682</v>
      </c>
      <c r="H497" s="2" t="s">
        <v>2242</v>
      </c>
      <c r="I497" s="23"/>
    </row>
    <row r="498" spans="1:9" ht="15.75" x14ac:dyDescent="0.25">
      <c r="A498" s="2" t="s">
        <v>1032</v>
      </c>
      <c r="B498" s="2" t="s">
        <v>1187</v>
      </c>
      <c r="C498" s="3">
        <v>1244</v>
      </c>
      <c r="D498" s="3">
        <v>2875</v>
      </c>
      <c r="E498" s="2" t="s">
        <v>1678</v>
      </c>
      <c r="F498" s="4" t="s">
        <v>123</v>
      </c>
      <c r="G498" s="4" t="s">
        <v>1033</v>
      </c>
      <c r="H498" s="23"/>
      <c r="I498" s="23"/>
    </row>
    <row r="499" spans="1:9" ht="15.75" x14ac:dyDescent="0.25">
      <c r="A499" s="2" t="s">
        <v>1034</v>
      </c>
      <c r="B499" s="2" t="s">
        <v>1187</v>
      </c>
      <c r="C499" s="3">
        <v>1219</v>
      </c>
      <c r="D499" s="3">
        <v>4217</v>
      </c>
      <c r="E499" s="2" t="s">
        <v>1204</v>
      </c>
      <c r="F499" s="4" t="s">
        <v>16</v>
      </c>
      <c r="G499" s="4" t="s">
        <v>1035</v>
      </c>
      <c r="H499" s="23"/>
      <c r="I499" s="23"/>
    </row>
    <row r="500" spans="1:9" ht="15.75" x14ac:dyDescent="0.25">
      <c r="A500" s="2" t="s">
        <v>1036</v>
      </c>
      <c r="B500" s="2" t="s">
        <v>1187</v>
      </c>
      <c r="C500" s="3">
        <v>3853</v>
      </c>
      <c r="D500" s="3">
        <v>4915</v>
      </c>
      <c r="E500" s="2" t="s">
        <v>1204</v>
      </c>
      <c r="F500" s="4" t="s">
        <v>68</v>
      </c>
      <c r="G500" s="4" t="s">
        <v>1037</v>
      </c>
      <c r="H500" s="23"/>
      <c r="I500" s="23"/>
    </row>
    <row r="501" spans="1:9" ht="15.75" x14ac:dyDescent="0.25">
      <c r="A501" s="2" t="s">
        <v>1038</v>
      </c>
      <c r="B501" s="2" t="s">
        <v>1187</v>
      </c>
      <c r="C501" s="3">
        <v>2328</v>
      </c>
      <c r="D501" s="3">
        <v>4812</v>
      </c>
      <c r="E501" s="2" t="s">
        <v>1218</v>
      </c>
      <c r="F501" s="4" t="s">
        <v>198</v>
      </c>
      <c r="G501" s="4" t="s">
        <v>1039</v>
      </c>
      <c r="H501" s="23"/>
      <c r="I501" s="23"/>
    </row>
    <row r="502" spans="1:9" ht="15.75" x14ac:dyDescent="0.25">
      <c r="A502" s="2" t="s">
        <v>1040</v>
      </c>
      <c r="B502" s="2" t="s">
        <v>1187</v>
      </c>
      <c r="C502" s="3">
        <v>3809</v>
      </c>
      <c r="D502" s="3">
        <v>4759</v>
      </c>
      <c r="E502" s="2" t="s">
        <v>1204</v>
      </c>
      <c r="F502" s="4" t="s">
        <v>68</v>
      </c>
      <c r="G502" s="4" t="s">
        <v>1041</v>
      </c>
      <c r="H502" s="23"/>
      <c r="I502" s="23"/>
    </row>
    <row r="503" spans="1:9" ht="15.75" x14ac:dyDescent="0.25">
      <c r="A503" s="2" t="s">
        <v>1042</v>
      </c>
      <c r="B503" s="2" t="s">
        <v>1187</v>
      </c>
      <c r="C503" s="3">
        <v>4821</v>
      </c>
      <c r="D503" s="3">
        <v>4223</v>
      </c>
      <c r="E503" s="2" t="s">
        <v>70</v>
      </c>
      <c r="F503" s="4" t="s">
        <v>1043</v>
      </c>
      <c r="G503" s="4" t="s">
        <v>1044</v>
      </c>
      <c r="H503" s="23"/>
      <c r="I503" s="23"/>
    </row>
    <row r="504" spans="1:9" ht="15.75" x14ac:dyDescent="0.25">
      <c r="A504" s="2" t="s">
        <v>1045</v>
      </c>
      <c r="B504" s="2" t="s">
        <v>1187</v>
      </c>
      <c r="C504" s="3">
        <v>6181</v>
      </c>
      <c r="D504" s="3">
        <v>4734</v>
      </c>
      <c r="E504" s="2" t="s">
        <v>1204</v>
      </c>
      <c r="F504" s="4" t="s">
        <v>68</v>
      </c>
      <c r="G504" s="4" t="s">
        <v>1046</v>
      </c>
      <c r="H504" s="23"/>
      <c r="I504" s="23"/>
    </row>
    <row r="505" spans="1:9" ht="15.75" x14ac:dyDescent="0.25">
      <c r="A505" s="2" t="s">
        <v>1047</v>
      </c>
      <c r="B505" s="2" t="s">
        <v>1187</v>
      </c>
      <c r="C505" s="3">
        <v>1846</v>
      </c>
      <c r="D505" s="3">
        <v>5504</v>
      </c>
      <c r="E505" s="2" t="s">
        <v>70</v>
      </c>
      <c r="F505" s="4" t="s">
        <v>117</v>
      </c>
      <c r="G505" s="4" t="s">
        <v>1048</v>
      </c>
      <c r="H505" s="23"/>
      <c r="I505" s="23"/>
    </row>
    <row r="506" spans="1:9" ht="15.75" x14ac:dyDescent="0.25">
      <c r="A506" s="2" t="s">
        <v>1049</v>
      </c>
      <c r="B506" s="2" t="s">
        <v>1187</v>
      </c>
      <c r="C506" s="3">
        <v>3207</v>
      </c>
      <c r="D506" s="3">
        <v>3896</v>
      </c>
      <c r="E506" s="2" t="s">
        <v>1218</v>
      </c>
      <c r="F506" s="4" t="s">
        <v>36</v>
      </c>
      <c r="G506" s="4" t="s">
        <v>1050</v>
      </c>
      <c r="H506" s="23"/>
      <c r="I506" s="23"/>
    </row>
    <row r="507" spans="1:9" ht="15.75" x14ac:dyDescent="0.25">
      <c r="A507" s="2" t="s">
        <v>1051</v>
      </c>
      <c r="B507" s="2" t="s">
        <v>1187</v>
      </c>
      <c r="C507" s="3">
        <v>2798</v>
      </c>
      <c r="D507" s="3">
        <v>4008</v>
      </c>
      <c r="E507" s="2" t="s">
        <v>1204</v>
      </c>
      <c r="F507" s="4" t="s">
        <v>16</v>
      </c>
      <c r="G507" s="4" t="s">
        <v>1052</v>
      </c>
      <c r="H507" s="23"/>
      <c r="I507" s="23"/>
    </row>
    <row r="508" spans="1:9" ht="15.75" x14ac:dyDescent="0.25">
      <c r="A508" s="2" t="s">
        <v>1053</v>
      </c>
      <c r="B508" s="2" t="s">
        <v>1187</v>
      </c>
      <c r="C508" s="3">
        <v>3229</v>
      </c>
      <c r="D508" s="3">
        <v>3876</v>
      </c>
      <c r="E508" s="2" t="s">
        <v>1677</v>
      </c>
      <c r="F508" s="4" t="s">
        <v>475</v>
      </c>
      <c r="G508" s="4" t="s">
        <v>1054</v>
      </c>
      <c r="H508" s="23"/>
      <c r="I508" s="23"/>
    </row>
    <row r="509" spans="1:9" ht="15.75" x14ac:dyDescent="0.25">
      <c r="A509" s="2" t="s">
        <v>1181</v>
      </c>
      <c r="B509" s="2" t="s">
        <v>1187</v>
      </c>
      <c r="C509" s="3">
        <v>4791</v>
      </c>
      <c r="D509" s="3">
        <v>5957</v>
      </c>
      <c r="E509" s="2" t="s">
        <v>1680</v>
      </c>
      <c r="F509" s="4" t="s">
        <v>273</v>
      </c>
      <c r="G509" s="4" t="s">
        <v>1055</v>
      </c>
      <c r="H509" s="23"/>
      <c r="I509" s="23"/>
    </row>
    <row r="510" spans="1:9" ht="15.75" x14ac:dyDescent="0.25">
      <c r="A510" s="2" t="s">
        <v>1056</v>
      </c>
      <c r="B510" s="2" t="s">
        <v>1187</v>
      </c>
      <c r="C510" s="3">
        <v>2969</v>
      </c>
      <c r="D510" s="3">
        <v>4429</v>
      </c>
      <c r="E510" s="2" t="s">
        <v>1218</v>
      </c>
      <c r="F510" s="4" t="s">
        <v>1057</v>
      </c>
      <c r="G510" s="4" t="s">
        <v>1058</v>
      </c>
      <c r="H510" s="23"/>
      <c r="I510" s="23"/>
    </row>
    <row r="511" spans="1:9" ht="15.75" x14ac:dyDescent="0.25">
      <c r="A511" s="2" t="s">
        <v>1059</v>
      </c>
      <c r="B511" s="2" t="s">
        <v>1187</v>
      </c>
      <c r="C511" s="3">
        <v>1032</v>
      </c>
      <c r="D511" s="3">
        <v>2903</v>
      </c>
      <c r="E511" s="2" t="s">
        <v>1218</v>
      </c>
      <c r="F511" s="4" t="s">
        <v>400</v>
      </c>
      <c r="G511" s="4" t="s">
        <v>1060</v>
      </c>
      <c r="H511" s="23"/>
      <c r="I511" s="23"/>
    </row>
    <row r="512" spans="1:9" ht="15.75" x14ac:dyDescent="0.25">
      <c r="A512" s="2" t="s">
        <v>1061</v>
      </c>
      <c r="B512" s="2" t="s">
        <v>1187</v>
      </c>
      <c r="C512" s="3">
        <v>3678</v>
      </c>
      <c r="D512" s="3">
        <v>6109</v>
      </c>
      <c r="E512" s="2" t="s">
        <v>1218</v>
      </c>
      <c r="F512" s="4" t="s">
        <v>1057</v>
      </c>
      <c r="G512" s="4" t="s">
        <v>1062</v>
      </c>
      <c r="H512" s="23"/>
      <c r="I512" s="23"/>
    </row>
    <row r="513" spans="1:9" ht="15.75" x14ac:dyDescent="0.25">
      <c r="A513" s="2" t="s">
        <v>1063</v>
      </c>
      <c r="B513" s="2" t="s">
        <v>1187</v>
      </c>
      <c r="C513" s="3">
        <v>2972</v>
      </c>
      <c r="D513" s="3">
        <v>5843</v>
      </c>
      <c r="E513" s="2" t="s">
        <v>1218</v>
      </c>
      <c r="F513" s="4" t="s">
        <v>244</v>
      </c>
      <c r="G513" s="4" t="s">
        <v>1064</v>
      </c>
      <c r="H513" s="23"/>
      <c r="I513" s="23"/>
    </row>
    <row r="514" spans="1:9" ht="15.75" x14ac:dyDescent="0.25">
      <c r="A514" s="2" t="s">
        <v>1065</v>
      </c>
      <c r="B514" s="2" t="s">
        <v>1187</v>
      </c>
      <c r="C514" s="3">
        <v>1322</v>
      </c>
      <c r="D514" s="3">
        <v>2871</v>
      </c>
      <c r="E514" s="2" t="s">
        <v>9</v>
      </c>
      <c r="F514" s="4" t="s">
        <v>9</v>
      </c>
      <c r="G514" s="4" t="s">
        <v>1066</v>
      </c>
      <c r="H514" s="23"/>
      <c r="I514" s="23"/>
    </row>
    <row r="515" spans="1:9" ht="15.75" x14ac:dyDescent="0.25">
      <c r="A515" s="2" t="s">
        <v>1182</v>
      </c>
      <c r="B515" s="2" t="s">
        <v>1187</v>
      </c>
      <c r="C515" s="3">
        <v>2182</v>
      </c>
      <c r="D515" s="3">
        <v>2315</v>
      </c>
      <c r="E515" s="2" t="s">
        <v>70</v>
      </c>
      <c r="F515" s="4" t="s">
        <v>1067</v>
      </c>
      <c r="G515" s="4" t="s">
        <v>1068</v>
      </c>
      <c r="H515" s="23"/>
      <c r="I515" s="23"/>
    </row>
    <row r="516" spans="1:9" ht="15.75" x14ac:dyDescent="0.25">
      <c r="A516" s="2" t="s">
        <v>1069</v>
      </c>
      <c r="B516" s="2" t="s">
        <v>1187</v>
      </c>
      <c r="C516" s="3">
        <v>1736</v>
      </c>
      <c r="D516" s="3">
        <v>3232</v>
      </c>
      <c r="E516" s="2" t="s">
        <v>1677</v>
      </c>
      <c r="F516" s="4" t="s">
        <v>343</v>
      </c>
      <c r="G516" s="4" t="s">
        <v>1070</v>
      </c>
      <c r="H516" s="23"/>
      <c r="I516" s="23"/>
    </row>
    <row r="517" spans="1:9" ht="15.75" x14ac:dyDescent="0.25">
      <c r="A517" s="2" t="s">
        <v>1071</v>
      </c>
      <c r="B517" s="2" t="s">
        <v>1187</v>
      </c>
      <c r="C517" s="3">
        <v>1805</v>
      </c>
      <c r="D517" s="3">
        <v>4682</v>
      </c>
      <c r="E517" s="2" t="s">
        <v>1204</v>
      </c>
      <c r="F517" s="4" t="s">
        <v>16</v>
      </c>
      <c r="G517" s="4" t="s">
        <v>1072</v>
      </c>
      <c r="H517" s="23"/>
      <c r="I517" s="23"/>
    </row>
    <row r="518" spans="1:9" ht="15.75" x14ac:dyDescent="0.25">
      <c r="A518" s="2" t="s">
        <v>1073</v>
      </c>
      <c r="B518" s="2" t="s">
        <v>1187</v>
      </c>
      <c r="C518" s="3">
        <v>4705</v>
      </c>
      <c r="D518" s="3">
        <v>2329</v>
      </c>
      <c r="E518" s="2" t="s">
        <v>1218</v>
      </c>
      <c r="F518" s="4" t="s">
        <v>297</v>
      </c>
      <c r="G518" s="4" t="s">
        <v>1074</v>
      </c>
      <c r="H518" s="23"/>
      <c r="I518" s="23"/>
    </row>
    <row r="519" spans="1:9" ht="15.75" x14ac:dyDescent="0.25">
      <c r="A519" s="2" t="s">
        <v>1075</v>
      </c>
      <c r="B519" s="2" t="s">
        <v>1187</v>
      </c>
      <c r="C519" s="3">
        <v>2338</v>
      </c>
      <c r="D519" s="3">
        <v>4357</v>
      </c>
      <c r="E519" s="2" t="s">
        <v>1218</v>
      </c>
      <c r="F519" s="4" t="s">
        <v>78</v>
      </c>
      <c r="G519" s="4" t="s">
        <v>1076</v>
      </c>
      <c r="H519" s="23"/>
      <c r="I519" s="23"/>
    </row>
    <row r="520" spans="1:9" ht="15.75" x14ac:dyDescent="0.25">
      <c r="A520" s="2" t="s">
        <v>1077</v>
      </c>
      <c r="B520" s="2" t="s">
        <v>1187</v>
      </c>
      <c r="C520" s="3">
        <v>743</v>
      </c>
      <c r="D520" s="3">
        <v>2667</v>
      </c>
      <c r="E520" s="2" t="s">
        <v>1218</v>
      </c>
      <c r="F520" s="4" t="s">
        <v>449</v>
      </c>
      <c r="G520" s="4" t="s">
        <v>1078</v>
      </c>
      <c r="H520" s="23"/>
      <c r="I520" s="23"/>
    </row>
    <row r="521" spans="1:9" ht="15.75" x14ac:dyDescent="0.25">
      <c r="A521" s="2" t="s">
        <v>1183</v>
      </c>
      <c r="B521" s="2" t="s">
        <v>1187</v>
      </c>
      <c r="C521" s="3">
        <v>2075</v>
      </c>
      <c r="D521" s="3">
        <v>981</v>
      </c>
      <c r="E521" s="2" t="s">
        <v>70</v>
      </c>
      <c r="F521" s="4" t="s">
        <v>71</v>
      </c>
      <c r="G521" s="4" t="s">
        <v>1079</v>
      </c>
      <c r="H521" s="23"/>
      <c r="I521" s="23"/>
    </row>
    <row r="522" spans="1:9" ht="15.75" x14ac:dyDescent="0.25">
      <c r="A522" s="2" t="s">
        <v>1080</v>
      </c>
      <c r="B522" s="2" t="s">
        <v>1187</v>
      </c>
      <c r="C522" s="3">
        <v>391</v>
      </c>
      <c r="D522" s="3">
        <v>3644</v>
      </c>
      <c r="E522" s="2" t="s">
        <v>1218</v>
      </c>
      <c r="F522" s="4" t="s">
        <v>48</v>
      </c>
      <c r="G522" s="4" t="s">
        <v>1081</v>
      </c>
      <c r="H522" s="23"/>
      <c r="I522" s="23"/>
    </row>
    <row r="523" spans="1:9" ht="15.75" x14ac:dyDescent="0.25">
      <c r="A523" s="2" t="s">
        <v>1082</v>
      </c>
      <c r="B523" s="2" t="s">
        <v>1187</v>
      </c>
      <c r="C523" s="3">
        <v>4492</v>
      </c>
      <c r="D523" s="3">
        <v>4514</v>
      </c>
      <c r="E523" s="2" t="s">
        <v>1677</v>
      </c>
      <c r="F523" s="4" t="s">
        <v>201</v>
      </c>
      <c r="G523" s="4" t="s">
        <v>1083</v>
      </c>
      <c r="H523" s="23"/>
      <c r="I523" s="23"/>
    </row>
    <row r="524" spans="1:9" ht="15.75" x14ac:dyDescent="0.25">
      <c r="A524" s="2" t="s">
        <v>1084</v>
      </c>
      <c r="B524" s="2" t="s">
        <v>1187</v>
      </c>
      <c r="C524" s="3">
        <v>5983</v>
      </c>
      <c r="D524" s="3">
        <v>5231</v>
      </c>
      <c r="E524" s="2" t="s">
        <v>1677</v>
      </c>
      <c r="F524" s="4" t="s">
        <v>45</v>
      </c>
      <c r="G524" s="4" t="s">
        <v>1085</v>
      </c>
      <c r="H524" s="23"/>
      <c r="I524" s="23"/>
    </row>
    <row r="525" spans="1:9" ht="15.75" x14ac:dyDescent="0.25">
      <c r="A525" s="2" t="s">
        <v>1086</v>
      </c>
      <c r="B525" s="2" t="s">
        <v>1187</v>
      </c>
      <c r="C525" s="3">
        <v>3434</v>
      </c>
      <c r="D525" s="3">
        <v>4174</v>
      </c>
      <c r="E525" s="2" t="s">
        <v>1204</v>
      </c>
      <c r="F525" s="4" t="s">
        <v>16</v>
      </c>
      <c r="G525" s="4" t="s">
        <v>1087</v>
      </c>
      <c r="H525" s="23"/>
      <c r="I525" s="23"/>
    </row>
    <row r="526" spans="1:9" ht="15.75" x14ac:dyDescent="0.25">
      <c r="A526" s="2" t="s">
        <v>1088</v>
      </c>
      <c r="B526" s="2" t="s">
        <v>1187</v>
      </c>
      <c r="C526" s="3">
        <v>6278</v>
      </c>
      <c r="D526" s="3">
        <v>4979</v>
      </c>
      <c r="E526" s="2" t="s">
        <v>1218</v>
      </c>
      <c r="F526" s="4" t="s">
        <v>126</v>
      </c>
      <c r="G526" s="4" t="s">
        <v>1089</v>
      </c>
      <c r="H526" s="23"/>
      <c r="I526" s="23"/>
    </row>
    <row r="527" spans="1:9" ht="15.75" x14ac:dyDescent="0.25">
      <c r="A527" s="2" t="s">
        <v>1090</v>
      </c>
      <c r="B527" s="2" t="s">
        <v>1187</v>
      </c>
      <c r="C527" s="3">
        <v>1594</v>
      </c>
      <c r="D527" s="3">
        <v>3006</v>
      </c>
      <c r="E527" s="2" t="s">
        <v>1204</v>
      </c>
      <c r="F527" s="4" t="s">
        <v>68</v>
      </c>
      <c r="G527" s="4" t="s">
        <v>1091</v>
      </c>
      <c r="H527" s="23"/>
      <c r="I527" s="23"/>
    </row>
    <row r="528" spans="1:9" ht="15.75" x14ac:dyDescent="0.25">
      <c r="A528" s="2" t="s">
        <v>1092</v>
      </c>
      <c r="B528" s="2" t="s">
        <v>1187</v>
      </c>
      <c r="C528" s="3">
        <v>2761</v>
      </c>
      <c r="D528" s="3">
        <v>4236</v>
      </c>
      <c r="E528" s="2" t="s">
        <v>1218</v>
      </c>
      <c r="F528" s="4" t="s">
        <v>126</v>
      </c>
      <c r="G528" s="4" t="s">
        <v>1093</v>
      </c>
      <c r="H528" s="23"/>
      <c r="I528" s="23"/>
    </row>
    <row r="529" spans="1:9" ht="15.75" x14ac:dyDescent="0.25">
      <c r="A529" s="2" t="s">
        <v>1094</v>
      </c>
      <c r="B529" s="2" t="s">
        <v>1187</v>
      </c>
      <c r="C529" s="3">
        <v>959</v>
      </c>
      <c r="D529" s="3">
        <v>3616</v>
      </c>
      <c r="E529" s="2" t="s">
        <v>1677</v>
      </c>
      <c r="F529" s="4" t="s">
        <v>475</v>
      </c>
      <c r="G529" s="4" t="s">
        <v>1095</v>
      </c>
      <c r="H529" s="23"/>
      <c r="I529" s="23"/>
    </row>
    <row r="530" spans="1:9" ht="15.75" x14ac:dyDescent="0.25">
      <c r="A530" s="2" t="s">
        <v>1096</v>
      </c>
      <c r="B530" s="2" t="s">
        <v>1187</v>
      </c>
      <c r="C530" s="3">
        <v>3977</v>
      </c>
      <c r="D530" s="3">
        <v>5227</v>
      </c>
      <c r="E530" s="2" t="s">
        <v>1199</v>
      </c>
      <c r="F530" s="4" t="s">
        <v>19</v>
      </c>
      <c r="G530" s="4" t="s">
        <v>1097</v>
      </c>
      <c r="H530" s="23"/>
      <c r="I530" s="23"/>
    </row>
    <row r="531" spans="1:9" ht="15.75" x14ac:dyDescent="0.25">
      <c r="A531" s="2" t="s">
        <v>1098</v>
      </c>
      <c r="B531" s="2" t="s">
        <v>1187</v>
      </c>
      <c r="C531" s="3">
        <v>5422</v>
      </c>
      <c r="D531" s="3">
        <v>1965</v>
      </c>
      <c r="E531" s="2" t="s">
        <v>1218</v>
      </c>
      <c r="F531" s="4" t="s">
        <v>1099</v>
      </c>
      <c r="G531" s="4" t="s">
        <v>1100</v>
      </c>
      <c r="H531" s="23"/>
      <c r="I531" s="23"/>
    </row>
    <row r="532" spans="1:9" ht="15.75" x14ac:dyDescent="0.25">
      <c r="A532" s="2" t="s">
        <v>1101</v>
      </c>
      <c r="B532" s="2" t="s">
        <v>1187</v>
      </c>
      <c r="C532" s="3">
        <v>6371</v>
      </c>
      <c r="D532" s="3">
        <v>5428</v>
      </c>
      <c r="E532" s="2" t="s">
        <v>70</v>
      </c>
      <c r="F532" s="4" t="s">
        <v>117</v>
      </c>
      <c r="G532" s="4" t="s">
        <v>1102</v>
      </c>
      <c r="H532" s="23"/>
      <c r="I532" s="23"/>
    </row>
    <row r="533" spans="1:9" ht="15.75" x14ac:dyDescent="0.25">
      <c r="A533" s="2" t="s">
        <v>1103</v>
      </c>
      <c r="B533" s="2" t="s">
        <v>1187</v>
      </c>
      <c r="C533" s="3">
        <v>2334</v>
      </c>
      <c r="D533" s="3">
        <v>5012</v>
      </c>
      <c r="E533" s="2" t="s">
        <v>1218</v>
      </c>
      <c r="F533" s="4" t="s">
        <v>62</v>
      </c>
      <c r="G533" s="4" t="s">
        <v>1104</v>
      </c>
      <c r="H533" s="23"/>
      <c r="I533" s="23"/>
    </row>
    <row r="534" spans="1:9" ht="15.75" x14ac:dyDescent="0.25">
      <c r="A534" s="2" t="s">
        <v>1105</v>
      </c>
      <c r="B534" s="2" t="s">
        <v>1187</v>
      </c>
      <c r="C534" s="3">
        <v>700</v>
      </c>
      <c r="D534" s="3">
        <v>3611</v>
      </c>
      <c r="E534" s="2" t="s">
        <v>1677</v>
      </c>
      <c r="F534" s="4" t="s">
        <v>81</v>
      </c>
      <c r="G534" s="4" t="s">
        <v>1106</v>
      </c>
      <c r="H534" s="23"/>
      <c r="I534" s="23"/>
    </row>
    <row r="535" spans="1:9" ht="15.75" x14ac:dyDescent="0.25">
      <c r="A535" s="2" t="s">
        <v>1107</v>
      </c>
      <c r="B535" s="2" t="s">
        <v>1187</v>
      </c>
      <c r="C535" s="3">
        <v>2988</v>
      </c>
      <c r="D535" s="3">
        <v>2905</v>
      </c>
      <c r="E535" s="2" t="s">
        <v>1678</v>
      </c>
      <c r="F535" s="4" t="s">
        <v>238</v>
      </c>
      <c r="G535" s="4" t="s">
        <v>1108</v>
      </c>
      <c r="H535" s="23"/>
      <c r="I535" s="23"/>
    </row>
    <row r="536" spans="1:9" ht="15.75" x14ac:dyDescent="0.25">
      <c r="A536" s="2" t="s">
        <v>1109</v>
      </c>
      <c r="B536" s="2" t="s">
        <v>1187</v>
      </c>
      <c r="C536" s="3">
        <v>2412</v>
      </c>
      <c r="D536" s="3">
        <v>4380</v>
      </c>
      <c r="E536" s="2" t="s">
        <v>1204</v>
      </c>
      <c r="F536" s="4" t="s">
        <v>68</v>
      </c>
      <c r="G536" s="4" t="s">
        <v>1110</v>
      </c>
      <c r="H536" s="23"/>
      <c r="I536" s="23"/>
    </row>
    <row r="537" spans="1:9" ht="15.75" x14ac:dyDescent="0.25">
      <c r="A537" s="2" t="s">
        <v>1111</v>
      </c>
      <c r="B537" s="2" t="s">
        <v>1187</v>
      </c>
      <c r="C537" s="3">
        <v>2108</v>
      </c>
      <c r="D537" s="3">
        <v>4130</v>
      </c>
      <c r="E537" s="2" t="s">
        <v>1218</v>
      </c>
      <c r="F537" s="4" t="s">
        <v>105</v>
      </c>
      <c r="G537" s="4" t="s">
        <v>1112</v>
      </c>
      <c r="H537" s="23"/>
      <c r="I537" s="23"/>
    </row>
    <row r="538" spans="1:9" ht="15.75" x14ac:dyDescent="0.25">
      <c r="A538" s="2" t="s">
        <v>1113</v>
      </c>
      <c r="B538" s="2" t="s">
        <v>1187</v>
      </c>
      <c r="C538" s="3">
        <v>3946</v>
      </c>
      <c r="D538" s="3">
        <v>6051</v>
      </c>
      <c r="E538" s="2" t="s">
        <v>1218</v>
      </c>
      <c r="F538" s="4" t="s">
        <v>208</v>
      </c>
      <c r="G538" s="4" t="s">
        <v>1114</v>
      </c>
      <c r="H538" s="23"/>
      <c r="I538" s="23"/>
    </row>
    <row r="539" spans="1:9" ht="15.75" x14ac:dyDescent="0.25">
      <c r="A539" s="2" t="s">
        <v>1115</v>
      </c>
      <c r="B539" s="2" t="s">
        <v>1187</v>
      </c>
      <c r="C539" s="3">
        <v>704</v>
      </c>
      <c r="D539" s="3">
        <v>3147</v>
      </c>
      <c r="E539" s="2" t="s">
        <v>1218</v>
      </c>
      <c r="F539" s="4" t="s">
        <v>297</v>
      </c>
      <c r="G539" s="4" t="s">
        <v>1116</v>
      </c>
      <c r="H539" s="23"/>
      <c r="I539" s="2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4BE50-1E4B-4520-AAD2-84CFC9FCEF93}">
  <dimension ref="A1:J143"/>
  <sheetViews>
    <sheetView workbookViewId="0">
      <selection activeCell="I5" sqref="I5"/>
    </sheetView>
  </sheetViews>
  <sheetFormatPr defaultRowHeight="15" x14ac:dyDescent="0.25"/>
  <cols>
    <col min="1" max="1" width="49" style="7" customWidth="1"/>
    <col min="2" max="2" width="22.42578125" style="7" bestFit="1" customWidth="1"/>
    <col min="3" max="3" width="65" style="7" customWidth="1"/>
    <col min="4" max="4" width="21.42578125" style="7" customWidth="1"/>
    <col min="5" max="6" width="16.28515625" style="6" customWidth="1"/>
    <col min="7" max="7" width="19.85546875" style="7" customWidth="1"/>
    <col min="8" max="8" width="24.5703125" style="7" customWidth="1"/>
    <col min="9" max="9" width="41.5703125" style="7" bestFit="1" customWidth="1"/>
    <col min="11" max="16384" width="9.140625" style="7"/>
  </cols>
  <sheetData>
    <row r="1" spans="1:10" s="9" customFormat="1" ht="15.75" x14ac:dyDescent="0.25">
      <c r="A1" s="1" t="s">
        <v>1188</v>
      </c>
      <c r="B1" s="1" t="s">
        <v>1186</v>
      </c>
      <c r="C1" s="1" t="s">
        <v>4</v>
      </c>
      <c r="D1" s="1" t="s">
        <v>1133</v>
      </c>
      <c r="E1" s="1" t="s">
        <v>0</v>
      </c>
      <c r="F1" s="1" t="s">
        <v>1</v>
      </c>
      <c r="G1" s="1" t="s">
        <v>1132</v>
      </c>
      <c r="H1" s="1" t="s">
        <v>1189</v>
      </c>
      <c r="I1" s="1" t="s">
        <v>1190</v>
      </c>
    </row>
    <row r="2" spans="1:10" ht="15.75" x14ac:dyDescent="0.25">
      <c r="A2" s="2" t="s">
        <v>8</v>
      </c>
      <c r="B2" s="2" t="s">
        <v>1191</v>
      </c>
      <c r="C2" s="2" t="s">
        <v>1338</v>
      </c>
      <c r="D2" s="2" t="s">
        <v>1227</v>
      </c>
      <c r="E2" s="3" t="s">
        <v>1399</v>
      </c>
      <c r="F2" s="3" t="s">
        <v>1400</v>
      </c>
      <c r="G2" s="2" t="s">
        <v>1687</v>
      </c>
      <c r="H2" s="2" t="s">
        <v>1196</v>
      </c>
      <c r="I2" s="2" t="s">
        <v>8</v>
      </c>
      <c r="J2" s="7"/>
    </row>
    <row r="3" spans="1:10" ht="15.75" x14ac:dyDescent="0.25">
      <c r="A3" s="2" t="s">
        <v>11</v>
      </c>
      <c r="B3" s="2" t="s">
        <v>1191</v>
      </c>
      <c r="C3" s="2" t="s">
        <v>1338</v>
      </c>
      <c r="D3" s="2" t="s">
        <v>1228</v>
      </c>
      <c r="E3" s="3" t="s">
        <v>1401</v>
      </c>
      <c r="F3" s="3" t="s">
        <v>1402</v>
      </c>
      <c r="G3" s="2" t="s">
        <v>1687</v>
      </c>
      <c r="H3" s="2" t="s">
        <v>1196</v>
      </c>
      <c r="I3" s="2" t="s">
        <v>11</v>
      </c>
      <c r="J3" s="7"/>
    </row>
    <row r="4" spans="1:10" ht="15.75" x14ac:dyDescent="0.25">
      <c r="A4" s="2" t="s">
        <v>13</v>
      </c>
      <c r="B4" s="2" t="s">
        <v>1191</v>
      </c>
      <c r="C4" s="2" t="s">
        <v>1338</v>
      </c>
      <c r="D4" s="2" t="s">
        <v>1229</v>
      </c>
      <c r="E4" s="3" t="s">
        <v>1403</v>
      </c>
      <c r="F4" s="3" t="s">
        <v>1404</v>
      </c>
      <c r="G4" s="2" t="s">
        <v>1687</v>
      </c>
      <c r="H4" s="2" t="s">
        <v>1196</v>
      </c>
      <c r="I4" s="2" t="s">
        <v>13</v>
      </c>
      <c r="J4" s="7"/>
    </row>
    <row r="5" spans="1:10" ht="15.75" x14ac:dyDescent="0.25">
      <c r="A5" s="10" t="s">
        <v>1136</v>
      </c>
      <c r="B5" s="2" t="s">
        <v>1211</v>
      </c>
      <c r="C5" s="2">
        <v>0</v>
      </c>
      <c r="D5" s="2" t="s">
        <v>1226</v>
      </c>
      <c r="E5" s="3" t="s">
        <v>1642</v>
      </c>
      <c r="F5" s="3" t="s">
        <v>1643</v>
      </c>
      <c r="G5" s="2" t="s">
        <v>1677</v>
      </c>
      <c r="H5" s="2" t="s">
        <v>1217</v>
      </c>
      <c r="I5" s="5"/>
      <c r="J5" s="7"/>
    </row>
    <row r="6" spans="1:10" ht="47.25" x14ac:dyDescent="0.25">
      <c r="A6" s="2" t="s">
        <v>1138</v>
      </c>
      <c r="B6" s="2" t="s">
        <v>1211</v>
      </c>
      <c r="C6" s="2" t="s">
        <v>1219</v>
      </c>
      <c r="D6" s="2" t="s">
        <v>1226</v>
      </c>
      <c r="E6" s="3" t="s">
        <v>1652</v>
      </c>
      <c r="F6" s="3" t="s">
        <v>1653</v>
      </c>
      <c r="G6" s="2" t="s">
        <v>1218</v>
      </c>
      <c r="H6" s="2" t="s">
        <v>1218</v>
      </c>
      <c r="I6" s="5"/>
      <c r="J6" s="7"/>
    </row>
    <row r="7" spans="1:10" ht="15.75" x14ac:dyDescent="0.25">
      <c r="A7" s="10" t="s">
        <v>1150</v>
      </c>
      <c r="B7" s="2" t="s">
        <v>1211</v>
      </c>
      <c r="C7" s="2">
        <v>0</v>
      </c>
      <c r="D7" s="2" t="s">
        <v>1226</v>
      </c>
      <c r="E7" s="3" t="s">
        <v>1644</v>
      </c>
      <c r="F7" s="3" t="s">
        <v>1645</v>
      </c>
      <c r="G7" s="2" t="s">
        <v>1677</v>
      </c>
      <c r="H7" s="2" t="s">
        <v>1217</v>
      </c>
      <c r="I7" s="5"/>
      <c r="J7" s="7"/>
    </row>
    <row r="8" spans="1:10" ht="15.75" x14ac:dyDescent="0.25">
      <c r="A8" s="2" t="s">
        <v>1220</v>
      </c>
      <c r="B8" s="2" t="s">
        <v>1211</v>
      </c>
      <c r="C8" s="2">
        <v>0</v>
      </c>
      <c r="D8" s="2" t="s">
        <v>1226</v>
      </c>
      <c r="E8" s="3" t="s">
        <v>1654</v>
      </c>
      <c r="F8" s="3" t="s">
        <v>1655</v>
      </c>
      <c r="G8" s="2" t="s">
        <v>1218</v>
      </c>
      <c r="H8" s="2" t="s">
        <v>1218</v>
      </c>
      <c r="I8" s="5"/>
      <c r="J8" s="7"/>
    </row>
    <row r="9" spans="1:10" ht="31.5" x14ac:dyDescent="0.25">
      <c r="A9" s="2" t="s">
        <v>86</v>
      </c>
      <c r="B9" s="2" t="s">
        <v>1191</v>
      </c>
      <c r="C9" s="2" t="s">
        <v>1365</v>
      </c>
      <c r="D9" s="2" t="s">
        <v>1304</v>
      </c>
      <c r="E9" s="3" t="s">
        <v>1557</v>
      </c>
      <c r="F9" s="3" t="s">
        <v>1558</v>
      </c>
      <c r="G9" s="2" t="s">
        <v>1678</v>
      </c>
      <c r="H9" s="2" t="s">
        <v>1206</v>
      </c>
      <c r="I9" s="2" t="s">
        <v>86</v>
      </c>
      <c r="J9" s="7"/>
    </row>
    <row r="10" spans="1:10" ht="15.75" x14ac:dyDescent="0.25">
      <c r="A10" s="2" t="s">
        <v>94</v>
      </c>
      <c r="B10" s="2" t="s">
        <v>1211</v>
      </c>
      <c r="C10" s="2">
        <v>0</v>
      </c>
      <c r="D10" s="2" t="s">
        <v>1226</v>
      </c>
      <c r="E10" s="3" t="s">
        <v>1656</v>
      </c>
      <c r="F10" s="3" t="s">
        <v>1657</v>
      </c>
      <c r="G10" s="2" t="s">
        <v>1218</v>
      </c>
      <c r="H10" s="2" t="s">
        <v>1218</v>
      </c>
      <c r="I10" s="5"/>
      <c r="J10" s="7"/>
    </row>
    <row r="11" spans="1:10" ht="47.25" x14ac:dyDescent="0.25">
      <c r="A11" s="10" t="s">
        <v>1140</v>
      </c>
      <c r="B11" s="2" t="s">
        <v>1211</v>
      </c>
      <c r="C11" s="2" t="s">
        <v>1221</v>
      </c>
      <c r="D11" s="2" t="s">
        <v>1226</v>
      </c>
      <c r="E11" s="3" t="s">
        <v>1658</v>
      </c>
      <c r="F11" s="3" t="s">
        <v>1659</v>
      </c>
      <c r="G11" s="2" t="s">
        <v>1218</v>
      </c>
      <c r="H11" s="2" t="s">
        <v>1218</v>
      </c>
      <c r="I11" s="5"/>
      <c r="J11" s="7"/>
    </row>
    <row r="12" spans="1:10" ht="15.75" x14ac:dyDescent="0.25">
      <c r="A12" s="2" t="s">
        <v>110</v>
      </c>
      <c r="B12" s="2" t="s">
        <v>1191</v>
      </c>
      <c r="C12" s="2" t="s">
        <v>1366</v>
      </c>
      <c r="D12" s="2" t="s">
        <v>1305</v>
      </c>
      <c r="E12" s="3" t="s">
        <v>1559</v>
      </c>
      <c r="F12" s="3" t="s">
        <v>1560</v>
      </c>
      <c r="G12" s="2" t="s">
        <v>1678</v>
      </c>
      <c r="H12" s="2" t="s">
        <v>1206</v>
      </c>
      <c r="I12" s="2" t="s">
        <v>110</v>
      </c>
      <c r="J12" s="7"/>
    </row>
    <row r="13" spans="1:10" ht="15.75" x14ac:dyDescent="0.25">
      <c r="A13" s="2" t="s">
        <v>120</v>
      </c>
      <c r="B13" s="2" t="s">
        <v>1191</v>
      </c>
      <c r="C13" s="2" t="s">
        <v>1339</v>
      </c>
      <c r="D13" s="2" t="s">
        <v>1230</v>
      </c>
      <c r="E13" s="3" t="s">
        <v>1405</v>
      </c>
      <c r="F13" s="3" t="s">
        <v>1406</v>
      </c>
      <c r="G13" s="2" t="s">
        <v>1687</v>
      </c>
      <c r="H13" s="2" t="s">
        <v>1196</v>
      </c>
      <c r="I13" s="2" t="s">
        <v>120</v>
      </c>
      <c r="J13" s="7"/>
    </row>
    <row r="14" spans="1:10" ht="15.75" x14ac:dyDescent="0.25">
      <c r="A14" s="2" t="s">
        <v>134</v>
      </c>
      <c r="B14" s="2" t="s">
        <v>1191</v>
      </c>
      <c r="C14" s="2" t="s">
        <v>1367</v>
      </c>
      <c r="D14" s="2" t="s">
        <v>1306</v>
      </c>
      <c r="E14" s="3" t="s">
        <v>1561</v>
      </c>
      <c r="F14" s="3" t="s">
        <v>1562</v>
      </c>
      <c r="G14" s="2" t="s">
        <v>1678</v>
      </c>
      <c r="H14" s="2" t="s">
        <v>1206</v>
      </c>
      <c r="I14" s="2" t="s">
        <v>134</v>
      </c>
      <c r="J14" s="7"/>
    </row>
    <row r="15" spans="1:10" ht="15.75" x14ac:dyDescent="0.25">
      <c r="A15" s="2" t="s">
        <v>142</v>
      </c>
      <c r="B15" s="2" t="s">
        <v>1191</v>
      </c>
      <c r="C15" s="2" t="s">
        <v>1345</v>
      </c>
      <c r="D15" s="2" t="s">
        <v>1250</v>
      </c>
      <c r="E15" s="3" t="s">
        <v>1445</v>
      </c>
      <c r="F15" s="3" t="s">
        <v>1446</v>
      </c>
      <c r="G15" s="2" t="s">
        <v>1198</v>
      </c>
      <c r="H15" s="2" t="s">
        <v>1198</v>
      </c>
      <c r="I15" s="2" t="s">
        <v>142</v>
      </c>
      <c r="J15" s="7"/>
    </row>
    <row r="16" spans="1:10" ht="15.75" x14ac:dyDescent="0.25">
      <c r="A16" s="2" t="s">
        <v>145</v>
      </c>
      <c r="B16" s="2" t="s">
        <v>1191</v>
      </c>
      <c r="C16" s="2" t="s">
        <v>1345</v>
      </c>
      <c r="D16" s="2" t="s">
        <v>1251</v>
      </c>
      <c r="E16" s="3" t="s">
        <v>1447</v>
      </c>
      <c r="F16" s="3" t="s">
        <v>1448</v>
      </c>
      <c r="G16" s="2" t="s">
        <v>1198</v>
      </c>
      <c r="H16" s="2" t="s">
        <v>1198</v>
      </c>
      <c r="I16" s="2" t="s">
        <v>145</v>
      </c>
      <c r="J16" s="7"/>
    </row>
    <row r="17" spans="1:10" ht="15.75" x14ac:dyDescent="0.25">
      <c r="A17" s="2" t="s">
        <v>147</v>
      </c>
      <c r="B17" s="2" t="s">
        <v>1191</v>
      </c>
      <c r="C17" s="2" t="s">
        <v>1345</v>
      </c>
      <c r="D17" s="2" t="s">
        <v>1252</v>
      </c>
      <c r="E17" s="3" t="s">
        <v>1449</v>
      </c>
      <c r="F17" s="3" t="s">
        <v>1450</v>
      </c>
      <c r="G17" s="2" t="s">
        <v>1198</v>
      </c>
      <c r="H17" s="2" t="s">
        <v>1198</v>
      </c>
      <c r="I17" s="2" t="s">
        <v>147</v>
      </c>
      <c r="J17" s="7"/>
    </row>
    <row r="18" spans="1:10" ht="15.75" x14ac:dyDescent="0.25">
      <c r="A18" s="2" t="s">
        <v>149</v>
      </c>
      <c r="B18" s="2" t="s">
        <v>1191</v>
      </c>
      <c r="C18" s="2" t="s">
        <v>1345</v>
      </c>
      <c r="D18" s="2" t="s">
        <v>1253</v>
      </c>
      <c r="E18" s="3" t="s">
        <v>1451</v>
      </c>
      <c r="F18" s="3" t="s">
        <v>1452</v>
      </c>
      <c r="G18" s="2" t="s">
        <v>1198</v>
      </c>
      <c r="H18" s="2" t="s">
        <v>1198</v>
      </c>
      <c r="I18" s="2" t="s">
        <v>149</v>
      </c>
      <c r="J18" s="7"/>
    </row>
    <row r="19" spans="1:10" ht="15.75" x14ac:dyDescent="0.25">
      <c r="A19" s="2" t="s">
        <v>151</v>
      </c>
      <c r="B19" s="2" t="s">
        <v>1191</v>
      </c>
      <c r="C19" s="2" t="s">
        <v>1345</v>
      </c>
      <c r="D19" s="2" t="s">
        <v>1254</v>
      </c>
      <c r="E19" s="3" t="s">
        <v>1453</v>
      </c>
      <c r="F19" s="3" t="s">
        <v>1454</v>
      </c>
      <c r="G19" s="2" t="s">
        <v>1198</v>
      </c>
      <c r="H19" s="2" t="s">
        <v>1198</v>
      </c>
      <c r="I19" s="2" t="s">
        <v>151</v>
      </c>
      <c r="J19" s="7"/>
    </row>
    <row r="20" spans="1:10" ht="15.75" x14ac:dyDescent="0.25">
      <c r="A20" s="10" t="s">
        <v>1674</v>
      </c>
      <c r="B20" s="2" t="s">
        <v>1211</v>
      </c>
      <c r="C20" s="2">
        <v>0</v>
      </c>
      <c r="D20" s="2" t="s">
        <v>1226</v>
      </c>
      <c r="E20" s="3" t="s">
        <v>1624</v>
      </c>
      <c r="F20" s="3" t="s">
        <v>1625</v>
      </c>
      <c r="G20" s="2" t="s">
        <v>1197</v>
      </c>
      <c r="H20" s="2" t="s">
        <v>1197</v>
      </c>
      <c r="I20" s="5"/>
      <c r="J20" s="7"/>
    </row>
    <row r="21" spans="1:10" ht="15.75" x14ac:dyDescent="0.25">
      <c r="A21" s="2" t="s">
        <v>159</v>
      </c>
      <c r="B21" s="2" t="s">
        <v>1191</v>
      </c>
      <c r="C21" s="2" t="s">
        <v>1340</v>
      </c>
      <c r="D21" s="2" t="s">
        <v>1231</v>
      </c>
      <c r="E21" s="3" t="s">
        <v>1407</v>
      </c>
      <c r="F21" s="3" t="s">
        <v>1408</v>
      </c>
      <c r="G21" s="2" t="s">
        <v>1687</v>
      </c>
      <c r="H21" s="2" t="s">
        <v>1196</v>
      </c>
      <c r="I21" s="2" t="s">
        <v>159</v>
      </c>
      <c r="J21" s="7"/>
    </row>
    <row r="22" spans="1:10" ht="15.75" x14ac:dyDescent="0.25">
      <c r="A22" s="2" t="s">
        <v>161</v>
      </c>
      <c r="B22" s="2" t="s">
        <v>1191</v>
      </c>
      <c r="C22" s="2" t="s">
        <v>1341</v>
      </c>
      <c r="D22" s="2" t="s">
        <v>1232</v>
      </c>
      <c r="E22" s="3" t="s">
        <v>1409</v>
      </c>
      <c r="F22" s="3" t="s">
        <v>1410</v>
      </c>
      <c r="G22" s="2" t="s">
        <v>1687</v>
      </c>
      <c r="H22" s="2" t="s">
        <v>1196</v>
      </c>
      <c r="I22" s="2" t="s">
        <v>161</v>
      </c>
      <c r="J22" s="7"/>
    </row>
    <row r="23" spans="1:10" ht="15.75" x14ac:dyDescent="0.25">
      <c r="A23" s="2" t="s">
        <v>163</v>
      </c>
      <c r="B23" s="2" t="s">
        <v>1191</v>
      </c>
      <c r="C23" s="2" t="s">
        <v>1348</v>
      </c>
      <c r="D23" s="2" t="s">
        <v>1261</v>
      </c>
      <c r="E23" s="3" t="s">
        <v>1467</v>
      </c>
      <c r="F23" s="3" t="s">
        <v>1468</v>
      </c>
      <c r="G23" s="2" t="s">
        <v>338</v>
      </c>
      <c r="H23" s="2" t="s">
        <v>338</v>
      </c>
      <c r="I23" s="2" t="s">
        <v>163</v>
      </c>
      <c r="J23" s="7"/>
    </row>
    <row r="24" spans="1:10" ht="15.75" x14ac:dyDescent="0.25">
      <c r="A24" s="2" t="s">
        <v>1212</v>
      </c>
      <c r="B24" s="2" t="s">
        <v>1211</v>
      </c>
      <c r="C24" s="2" t="s">
        <v>1213</v>
      </c>
      <c r="D24" s="2" t="s">
        <v>1226</v>
      </c>
      <c r="E24" s="3" t="s">
        <v>1626</v>
      </c>
      <c r="F24" s="3" t="s">
        <v>1627</v>
      </c>
      <c r="G24" s="2" t="s">
        <v>1199</v>
      </c>
      <c r="H24" s="2" t="s">
        <v>1199</v>
      </c>
      <c r="I24" s="5"/>
      <c r="J24" s="7"/>
    </row>
    <row r="25" spans="1:10" ht="15.75" x14ac:dyDescent="0.25">
      <c r="A25" s="2" t="s">
        <v>267</v>
      </c>
      <c r="B25" s="2" t="s">
        <v>1211</v>
      </c>
      <c r="C25" s="2">
        <v>0</v>
      </c>
      <c r="D25" s="2" t="s">
        <v>1226</v>
      </c>
      <c r="E25" s="3" t="s">
        <v>1640</v>
      </c>
      <c r="F25" s="3" t="s">
        <v>1641</v>
      </c>
      <c r="G25" s="2" t="s">
        <v>1678</v>
      </c>
      <c r="H25" s="2" t="s">
        <v>1216</v>
      </c>
      <c r="I25" s="5"/>
      <c r="J25" s="7"/>
    </row>
    <row r="26" spans="1:10" ht="15.75" x14ac:dyDescent="0.25">
      <c r="A26" s="2" t="s">
        <v>275</v>
      </c>
      <c r="B26" s="2" t="s">
        <v>1191</v>
      </c>
      <c r="C26" s="2" t="s">
        <v>1346</v>
      </c>
      <c r="D26" s="2" t="s">
        <v>1259</v>
      </c>
      <c r="E26" s="3" t="s">
        <v>1463</v>
      </c>
      <c r="F26" s="3" t="s">
        <v>1464</v>
      </c>
      <c r="G26" s="2" t="s">
        <v>1199</v>
      </c>
      <c r="H26" s="2" t="s">
        <v>1199</v>
      </c>
      <c r="I26" s="2" t="s">
        <v>275</v>
      </c>
      <c r="J26" s="7"/>
    </row>
    <row r="27" spans="1:10" ht="15.75" x14ac:dyDescent="0.25">
      <c r="A27" s="2" t="s">
        <v>278</v>
      </c>
      <c r="B27" s="2" t="s">
        <v>1211</v>
      </c>
      <c r="C27" s="2">
        <v>0</v>
      </c>
      <c r="D27" s="2" t="s">
        <v>1226</v>
      </c>
      <c r="E27" s="3" t="s">
        <v>1660</v>
      </c>
      <c r="F27" s="3" t="s">
        <v>1661</v>
      </c>
      <c r="G27" s="2" t="s">
        <v>1218</v>
      </c>
      <c r="H27" s="2" t="s">
        <v>1218</v>
      </c>
      <c r="I27" s="5"/>
      <c r="J27" s="7"/>
    </row>
    <row r="28" spans="1:10" ht="47.25" x14ac:dyDescent="0.25">
      <c r="A28" s="10" t="s">
        <v>1145</v>
      </c>
      <c r="B28" s="2" t="s">
        <v>1211</v>
      </c>
      <c r="C28" s="2" t="s">
        <v>1222</v>
      </c>
      <c r="D28" s="2" t="s">
        <v>1226</v>
      </c>
      <c r="E28" s="3" t="s">
        <v>1662</v>
      </c>
      <c r="F28" s="3" t="s">
        <v>1663</v>
      </c>
      <c r="G28" s="2" t="s">
        <v>1218</v>
      </c>
      <c r="H28" s="2" t="s">
        <v>1218</v>
      </c>
      <c r="I28" s="5"/>
      <c r="J28" s="7"/>
    </row>
    <row r="29" spans="1:10" ht="15.75" x14ac:dyDescent="0.25">
      <c r="A29" s="2" t="s">
        <v>286</v>
      </c>
      <c r="B29" s="2" t="s">
        <v>1191</v>
      </c>
      <c r="C29" s="2" t="s">
        <v>1342</v>
      </c>
      <c r="D29" s="2" t="s">
        <v>1244</v>
      </c>
      <c r="E29" s="3" t="s">
        <v>1433</v>
      </c>
      <c r="F29" s="3" t="s">
        <v>1434</v>
      </c>
      <c r="G29" s="2" t="s">
        <v>1197</v>
      </c>
      <c r="H29" s="2" t="s">
        <v>1197</v>
      </c>
      <c r="I29" s="2" t="s">
        <v>286</v>
      </c>
      <c r="J29" s="7"/>
    </row>
    <row r="30" spans="1:10" ht="15.75" x14ac:dyDescent="0.25">
      <c r="A30" s="2" t="s">
        <v>1202</v>
      </c>
      <c r="B30" s="2" t="s">
        <v>1191</v>
      </c>
      <c r="C30" s="2" t="s">
        <v>1203</v>
      </c>
      <c r="D30" s="2" t="s">
        <v>1226</v>
      </c>
      <c r="E30" s="3" t="s">
        <v>1499</v>
      </c>
      <c r="F30" s="3" t="s">
        <v>1500</v>
      </c>
      <c r="G30" s="2" t="s">
        <v>1686</v>
      </c>
      <c r="H30" s="2" t="s">
        <v>1204</v>
      </c>
      <c r="I30" s="2" t="s">
        <v>881</v>
      </c>
      <c r="J30" s="7"/>
    </row>
    <row r="31" spans="1:10" ht="15.75" x14ac:dyDescent="0.25">
      <c r="A31" s="2" t="s">
        <v>299</v>
      </c>
      <c r="B31" s="2" t="s">
        <v>1191</v>
      </c>
      <c r="C31" s="2" t="s">
        <v>1368</v>
      </c>
      <c r="D31" s="2" t="s">
        <v>1307</v>
      </c>
      <c r="E31" s="3" t="s">
        <v>1563</v>
      </c>
      <c r="F31" s="3" t="s">
        <v>1564</v>
      </c>
      <c r="G31" s="2" t="s">
        <v>1678</v>
      </c>
      <c r="H31" s="2" t="s">
        <v>1206</v>
      </c>
      <c r="I31" s="2" t="s">
        <v>299</v>
      </c>
      <c r="J31" s="7"/>
    </row>
    <row r="32" spans="1:10" ht="15.75" x14ac:dyDescent="0.25">
      <c r="A32" s="2" t="s">
        <v>308</v>
      </c>
      <c r="B32" s="2" t="s">
        <v>1191</v>
      </c>
      <c r="C32" s="2" t="s">
        <v>1340</v>
      </c>
      <c r="D32" s="2" t="s">
        <v>1233</v>
      </c>
      <c r="E32" s="3" t="s">
        <v>1411</v>
      </c>
      <c r="F32" s="3" t="s">
        <v>1412</v>
      </c>
      <c r="G32" s="2" t="s">
        <v>1687</v>
      </c>
      <c r="H32" s="2" t="s">
        <v>1196</v>
      </c>
      <c r="I32" s="2" t="s">
        <v>308</v>
      </c>
      <c r="J32" s="7"/>
    </row>
    <row r="33" spans="1:10" ht="15.75" x14ac:dyDescent="0.25">
      <c r="A33" s="2" t="s">
        <v>315</v>
      </c>
      <c r="B33" s="2" t="s">
        <v>1191</v>
      </c>
      <c r="C33" s="2" t="s">
        <v>1363</v>
      </c>
      <c r="D33" s="2" t="s">
        <v>1276</v>
      </c>
      <c r="E33" s="3" t="s">
        <v>1501</v>
      </c>
      <c r="F33" s="3" t="s">
        <v>1502</v>
      </c>
      <c r="G33" s="2" t="s">
        <v>1686</v>
      </c>
      <c r="H33" s="2" t="s">
        <v>1204</v>
      </c>
      <c r="I33" s="2" t="s">
        <v>315</v>
      </c>
      <c r="J33" s="7"/>
    </row>
    <row r="34" spans="1:10" ht="31.5" x14ac:dyDescent="0.25">
      <c r="A34" s="2" t="s">
        <v>317</v>
      </c>
      <c r="B34" s="2" t="s">
        <v>1191</v>
      </c>
      <c r="C34" s="2" t="s">
        <v>1354</v>
      </c>
      <c r="D34" s="2" t="s">
        <v>1267</v>
      </c>
      <c r="E34" s="3" t="s">
        <v>1479</v>
      </c>
      <c r="F34" s="3" t="s">
        <v>1480</v>
      </c>
      <c r="G34" s="2" t="s">
        <v>1200</v>
      </c>
      <c r="H34" s="2" t="s">
        <v>1200</v>
      </c>
      <c r="I34" s="2" t="s">
        <v>317</v>
      </c>
      <c r="J34" s="7"/>
    </row>
    <row r="35" spans="1:10" ht="15.75" x14ac:dyDescent="0.25">
      <c r="A35" s="2" t="s">
        <v>319</v>
      </c>
      <c r="B35" s="2" t="s">
        <v>1191</v>
      </c>
      <c r="C35" s="2" t="s">
        <v>1355</v>
      </c>
      <c r="D35" s="2" t="s">
        <v>1268</v>
      </c>
      <c r="E35" s="3" t="s">
        <v>1481</v>
      </c>
      <c r="F35" s="3" t="s">
        <v>1482</v>
      </c>
      <c r="G35" s="2" t="s">
        <v>1200</v>
      </c>
      <c r="H35" s="2" t="s">
        <v>1200</v>
      </c>
      <c r="I35" s="2" t="s">
        <v>319</v>
      </c>
      <c r="J35" s="7"/>
    </row>
    <row r="36" spans="1:10" ht="15.75" x14ac:dyDescent="0.25">
      <c r="A36" s="2" t="s">
        <v>321</v>
      </c>
      <c r="B36" s="2" t="s">
        <v>1191</v>
      </c>
      <c r="C36" s="2" t="s">
        <v>1356</v>
      </c>
      <c r="D36" s="2" t="s">
        <v>1269</v>
      </c>
      <c r="E36" s="3" t="s">
        <v>1483</v>
      </c>
      <c r="F36" s="3" t="s">
        <v>1484</v>
      </c>
      <c r="G36" s="2" t="s">
        <v>1200</v>
      </c>
      <c r="H36" s="2" t="s">
        <v>1200</v>
      </c>
      <c r="I36" s="2" t="s">
        <v>321</v>
      </c>
      <c r="J36" s="7"/>
    </row>
    <row r="37" spans="1:10" ht="31.5" x14ac:dyDescent="0.25">
      <c r="A37" s="2" t="s">
        <v>323</v>
      </c>
      <c r="B37" s="2" t="s">
        <v>1191</v>
      </c>
      <c r="C37" s="2" t="s">
        <v>1357</v>
      </c>
      <c r="D37" s="2" t="s">
        <v>1270</v>
      </c>
      <c r="E37" s="3" t="s">
        <v>1485</v>
      </c>
      <c r="F37" s="3" t="s">
        <v>1486</v>
      </c>
      <c r="G37" s="2" t="s">
        <v>1200</v>
      </c>
      <c r="H37" s="2" t="s">
        <v>1200</v>
      </c>
      <c r="I37" s="2" t="s">
        <v>323</v>
      </c>
      <c r="J37" s="7"/>
    </row>
    <row r="38" spans="1:10" ht="31.5" x14ac:dyDescent="0.25">
      <c r="A38" s="2" t="s">
        <v>325</v>
      </c>
      <c r="B38" s="2" t="s">
        <v>1191</v>
      </c>
      <c r="C38" s="2" t="s">
        <v>1201</v>
      </c>
      <c r="D38" s="2" t="s">
        <v>1226</v>
      </c>
      <c r="E38" s="3" t="s">
        <v>1487</v>
      </c>
      <c r="F38" s="3" t="s">
        <v>1488</v>
      </c>
      <c r="G38" s="2" t="s">
        <v>1200</v>
      </c>
      <c r="H38" s="2" t="s">
        <v>1200</v>
      </c>
      <c r="I38" s="2" t="s">
        <v>325</v>
      </c>
      <c r="J38" s="7"/>
    </row>
    <row r="39" spans="1:10" ht="31.5" x14ac:dyDescent="0.25">
      <c r="A39" s="2" t="s">
        <v>327</v>
      </c>
      <c r="B39" s="2" t="s">
        <v>1191</v>
      </c>
      <c r="C39" s="2" t="s">
        <v>1358</v>
      </c>
      <c r="D39" s="2" t="s">
        <v>1271</v>
      </c>
      <c r="E39" s="3" t="s">
        <v>1489</v>
      </c>
      <c r="F39" s="3" t="s">
        <v>1490</v>
      </c>
      <c r="G39" s="2" t="s">
        <v>1200</v>
      </c>
      <c r="H39" s="2" t="s">
        <v>1200</v>
      </c>
      <c r="I39" s="2" t="s">
        <v>327</v>
      </c>
      <c r="J39" s="7"/>
    </row>
    <row r="40" spans="1:10" ht="31.5" x14ac:dyDescent="0.25">
      <c r="A40" s="2" t="s">
        <v>329</v>
      </c>
      <c r="B40" s="2" t="s">
        <v>1191</v>
      </c>
      <c r="C40" s="2" t="s">
        <v>1359</v>
      </c>
      <c r="D40" s="2" t="s">
        <v>1272</v>
      </c>
      <c r="E40" s="3" t="s">
        <v>1491</v>
      </c>
      <c r="F40" s="3" t="s">
        <v>1492</v>
      </c>
      <c r="G40" s="2" t="s">
        <v>1200</v>
      </c>
      <c r="H40" s="2" t="s">
        <v>1200</v>
      </c>
      <c r="I40" s="2" t="s">
        <v>329</v>
      </c>
      <c r="J40" s="7"/>
    </row>
    <row r="41" spans="1:10" ht="15.75" x14ac:dyDescent="0.25">
      <c r="A41" s="2" t="s">
        <v>331</v>
      </c>
      <c r="B41" s="2" t="s">
        <v>1191</v>
      </c>
      <c r="C41" s="2" t="s">
        <v>1360</v>
      </c>
      <c r="D41" s="2" t="s">
        <v>1273</v>
      </c>
      <c r="E41" s="3" t="s">
        <v>1493</v>
      </c>
      <c r="F41" s="3" t="s">
        <v>1494</v>
      </c>
      <c r="G41" s="2" t="s">
        <v>1200</v>
      </c>
      <c r="H41" s="2" t="s">
        <v>1200</v>
      </c>
      <c r="I41" s="2" t="s">
        <v>331</v>
      </c>
      <c r="J41" s="7"/>
    </row>
    <row r="42" spans="1:10" ht="15.75" x14ac:dyDescent="0.25">
      <c r="A42" s="2" t="s">
        <v>333</v>
      </c>
      <c r="B42" s="2" t="s">
        <v>1191</v>
      </c>
      <c r="C42" s="2" t="s">
        <v>1361</v>
      </c>
      <c r="D42" s="2" t="s">
        <v>1274</v>
      </c>
      <c r="E42" s="3" t="s">
        <v>1495</v>
      </c>
      <c r="F42" s="3" t="s">
        <v>1496</v>
      </c>
      <c r="G42" s="2" t="s">
        <v>1200</v>
      </c>
      <c r="H42" s="2" t="s">
        <v>1200</v>
      </c>
      <c r="I42" s="2" t="s">
        <v>333</v>
      </c>
      <c r="J42" s="7"/>
    </row>
    <row r="43" spans="1:10" ht="15.75" x14ac:dyDescent="0.25">
      <c r="A43" s="2" t="s">
        <v>337</v>
      </c>
      <c r="B43" s="2" t="s">
        <v>1191</v>
      </c>
      <c r="C43" s="2" t="s">
        <v>1349</v>
      </c>
      <c r="D43" s="2" t="s">
        <v>1262</v>
      </c>
      <c r="E43" s="3" t="s">
        <v>1469</v>
      </c>
      <c r="F43" s="3" t="s">
        <v>1470</v>
      </c>
      <c r="G43" s="2" t="s">
        <v>338</v>
      </c>
      <c r="H43" s="2" t="s">
        <v>338</v>
      </c>
      <c r="I43" s="2" t="s">
        <v>337</v>
      </c>
      <c r="J43" s="7"/>
    </row>
    <row r="44" spans="1:10" ht="15.75" x14ac:dyDescent="0.25">
      <c r="A44" s="2" t="s">
        <v>1187</v>
      </c>
      <c r="B44" s="2" t="s">
        <v>1195</v>
      </c>
      <c r="C44" s="2" t="s">
        <v>1191</v>
      </c>
      <c r="D44" s="2" t="s">
        <v>1226</v>
      </c>
      <c r="E44" s="3" t="s">
        <v>1397</v>
      </c>
      <c r="F44" s="3" t="s">
        <v>1398</v>
      </c>
      <c r="G44" s="2" t="s">
        <v>1192</v>
      </c>
      <c r="H44" s="2" t="s">
        <v>1193</v>
      </c>
      <c r="I44" s="2" t="s">
        <v>1194</v>
      </c>
      <c r="J44" s="7"/>
    </row>
    <row r="45" spans="1:10" ht="15.75" x14ac:dyDescent="0.25">
      <c r="A45" s="10" t="s">
        <v>1185</v>
      </c>
      <c r="B45" s="2" t="s">
        <v>1211</v>
      </c>
      <c r="C45" s="2">
        <v>0</v>
      </c>
      <c r="D45" s="2" t="s">
        <v>1226</v>
      </c>
      <c r="E45" s="3" t="s">
        <v>1664</v>
      </c>
      <c r="F45" s="3" t="s">
        <v>1665</v>
      </c>
      <c r="G45" s="2" t="s">
        <v>1218</v>
      </c>
      <c r="H45" s="2" t="s">
        <v>1218</v>
      </c>
      <c r="I45" s="5"/>
      <c r="J45" s="7"/>
    </row>
    <row r="46" spans="1:10" ht="15.75" x14ac:dyDescent="0.25">
      <c r="A46" s="2" t="s">
        <v>365</v>
      </c>
      <c r="B46" s="2" t="s">
        <v>1191</v>
      </c>
      <c r="C46" s="2" t="s">
        <v>1363</v>
      </c>
      <c r="D46" s="2" t="s">
        <v>1277</v>
      </c>
      <c r="E46" s="3" t="s">
        <v>1503</v>
      </c>
      <c r="F46" s="3" t="s">
        <v>1504</v>
      </c>
      <c r="G46" s="2" t="s">
        <v>1686</v>
      </c>
      <c r="H46" s="2" t="s">
        <v>1204</v>
      </c>
      <c r="I46" s="2" t="s">
        <v>365</v>
      </c>
      <c r="J46" s="7"/>
    </row>
    <row r="47" spans="1:10" ht="15.75" x14ac:dyDescent="0.25">
      <c r="A47" s="2" t="s">
        <v>384</v>
      </c>
      <c r="B47" s="2" t="s">
        <v>1191</v>
      </c>
      <c r="C47" s="2" t="s">
        <v>1363</v>
      </c>
      <c r="D47" s="2" t="s">
        <v>1278</v>
      </c>
      <c r="E47" s="3" t="s">
        <v>1505</v>
      </c>
      <c r="F47" s="3" t="s">
        <v>1506</v>
      </c>
      <c r="G47" s="2" t="s">
        <v>1686</v>
      </c>
      <c r="H47" s="2" t="s">
        <v>1204</v>
      </c>
      <c r="I47" s="2" t="s">
        <v>384</v>
      </c>
      <c r="J47" s="7"/>
    </row>
    <row r="48" spans="1:10" ht="15.75" x14ac:dyDescent="0.25">
      <c r="A48" s="2" t="s">
        <v>386</v>
      </c>
      <c r="B48" s="2" t="s">
        <v>1191</v>
      </c>
      <c r="C48" s="2" t="s">
        <v>1340</v>
      </c>
      <c r="D48" s="2" t="s">
        <v>1234</v>
      </c>
      <c r="E48" s="3" t="s">
        <v>1413</v>
      </c>
      <c r="F48" s="3" t="s">
        <v>1414</v>
      </c>
      <c r="G48" s="2" t="s">
        <v>1687</v>
      </c>
      <c r="H48" s="2" t="s">
        <v>1196</v>
      </c>
      <c r="I48" s="2" t="s">
        <v>386</v>
      </c>
      <c r="J48" s="7"/>
    </row>
    <row r="49" spans="1:10" ht="15.75" x14ac:dyDescent="0.25">
      <c r="A49" s="2" t="s">
        <v>417</v>
      </c>
      <c r="B49" s="2" t="s">
        <v>1191</v>
      </c>
      <c r="C49" s="2" t="s">
        <v>1369</v>
      </c>
      <c r="D49" s="2" t="s">
        <v>1308</v>
      </c>
      <c r="E49" s="3" t="s">
        <v>1565</v>
      </c>
      <c r="F49" s="3" t="s">
        <v>1566</v>
      </c>
      <c r="G49" s="2" t="s">
        <v>1678</v>
      </c>
      <c r="H49" s="2" t="s">
        <v>1206</v>
      </c>
      <c r="I49" s="2" t="s">
        <v>417</v>
      </c>
      <c r="J49" s="7"/>
    </row>
    <row r="50" spans="1:10" ht="15.75" x14ac:dyDescent="0.25">
      <c r="A50" s="2" t="s">
        <v>421</v>
      </c>
      <c r="B50" s="2" t="s">
        <v>1191</v>
      </c>
      <c r="C50" s="2" t="s">
        <v>1345</v>
      </c>
      <c r="D50" s="2" t="s">
        <v>1255</v>
      </c>
      <c r="E50" s="3" t="s">
        <v>1455</v>
      </c>
      <c r="F50" s="3" t="s">
        <v>1456</v>
      </c>
      <c r="G50" s="2" t="s">
        <v>1198</v>
      </c>
      <c r="H50" s="2" t="s">
        <v>1198</v>
      </c>
      <c r="I50" s="2" t="s">
        <v>421</v>
      </c>
      <c r="J50" s="7"/>
    </row>
    <row r="51" spans="1:10" ht="15.75" x14ac:dyDescent="0.25">
      <c r="A51" s="2" t="s">
        <v>425</v>
      </c>
      <c r="B51" s="2" t="s">
        <v>1191</v>
      </c>
      <c r="C51" s="2" t="s">
        <v>1340</v>
      </c>
      <c r="D51" s="2" t="s">
        <v>1235</v>
      </c>
      <c r="E51" s="3" t="s">
        <v>1415</v>
      </c>
      <c r="F51" s="3" t="s">
        <v>1416</v>
      </c>
      <c r="G51" s="2" t="s">
        <v>1687</v>
      </c>
      <c r="H51" s="2" t="s">
        <v>1196</v>
      </c>
      <c r="I51" s="2" t="s">
        <v>425</v>
      </c>
      <c r="J51" s="7"/>
    </row>
    <row r="52" spans="1:10" ht="15.75" x14ac:dyDescent="0.25">
      <c r="A52" s="10" t="s">
        <v>1142</v>
      </c>
      <c r="B52" s="2" t="s">
        <v>1211</v>
      </c>
      <c r="C52" s="2">
        <v>0</v>
      </c>
      <c r="D52" s="2" t="s">
        <v>1226</v>
      </c>
      <c r="E52" s="3" t="s">
        <v>1646</v>
      </c>
      <c r="F52" s="3" t="s">
        <v>1647</v>
      </c>
      <c r="G52" s="2" t="s">
        <v>1677</v>
      </c>
      <c r="H52" s="2" t="s">
        <v>1217</v>
      </c>
      <c r="I52" s="5"/>
      <c r="J52" s="7"/>
    </row>
    <row r="53" spans="1:10" ht="15.75" x14ac:dyDescent="0.25">
      <c r="A53" s="2" t="s">
        <v>436</v>
      </c>
      <c r="B53" s="2" t="s">
        <v>1191</v>
      </c>
      <c r="C53" s="2" t="s">
        <v>1340</v>
      </c>
      <c r="D53" s="2" t="s">
        <v>1236</v>
      </c>
      <c r="E53" s="3" t="s">
        <v>1417</v>
      </c>
      <c r="F53" s="3" t="s">
        <v>1418</v>
      </c>
      <c r="G53" s="2" t="s">
        <v>1687</v>
      </c>
      <c r="H53" s="2" t="s">
        <v>1196</v>
      </c>
      <c r="I53" s="2" t="s">
        <v>436</v>
      </c>
      <c r="J53" s="7"/>
    </row>
    <row r="54" spans="1:10" ht="15.75" x14ac:dyDescent="0.25">
      <c r="A54" s="2" t="s">
        <v>465</v>
      </c>
      <c r="B54" s="2" t="s">
        <v>1191</v>
      </c>
      <c r="C54" s="2" t="s">
        <v>1370</v>
      </c>
      <c r="D54" s="2" t="s">
        <v>1309</v>
      </c>
      <c r="E54" s="3" t="s">
        <v>1567</v>
      </c>
      <c r="F54" s="3" t="s">
        <v>1568</v>
      </c>
      <c r="G54" s="2" t="s">
        <v>1678</v>
      </c>
      <c r="H54" s="2" t="s">
        <v>1206</v>
      </c>
      <c r="I54" s="2" t="s">
        <v>465</v>
      </c>
      <c r="J54" s="7"/>
    </row>
    <row r="55" spans="1:10" ht="15.75" x14ac:dyDescent="0.25">
      <c r="A55" s="2" t="s">
        <v>467</v>
      </c>
      <c r="B55" s="2" t="s">
        <v>1191</v>
      </c>
      <c r="C55" s="2" t="s">
        <v>1363</v>
      </c>
      <c r="D55" s="2" t="s">
        <v>1279</v>
      </c>
      <c r="E55" s="3" t="s">
        <v>1507</v>
      </c>
      <c r="F55" s="3" t="s">
        <v>1508</v>
      </c>
      <c r="G55" s="2" t="s">
        <v>1686</v>
      </c>
      <c r="H55" s="2" t="s">
        <v>1204</v>
      </c>
      <c r="I55" s="2" t="s">
        <v>467</v>
      </c>
      <c r="J55" s="7"/>
    </row>
    <row r="56" spans="1:10" ht="31.5" x14ac:dyDescent="0.25">
      <c r="A56" s="2" t="s">
        <v>484</v>
      </c>
      <c r="B56" s="2" t="s">
        <v>1191</v>
      </c>
      <c r="C56" s="2" t="s">
        <v>1209</v>
      </c>
      <c r="D56" s="2" t="s">
        <v>1226</v>
      </c>
      <c r="E56" s="3" t="s">
        <v>1590</v>
      </c>
      <c r="F56" s="3" t="s">
        <v>1591</v>
      </c>
      <c r="G56" s="2" t="s">
        <v>22</v>
      </c>
      <c r="H56" s="2" t="s">
        <v>22</v>
      </c>
      <c r="I56" s="2" t="s">
        <v>484</v>
      </c>
      <c r="J56" s="7"/>
    </row>
    <row r="57" spans="1:10" ht="31.5" x14ac:dyDescent="0.25">
      <c r="A57" s="2" t="s">
        <v>484</v>
      </c>
      <c r="B57" s="2" t="s">
        <v>1191</v>
      </c>
      <c r="C57" s="2" t="s">
        <v>1209</v>
      </c>
      <c r="D57" s="2" t="s">
        <v>1323</v>
      </c>
      <c r="E57" s="3" t="s">
        <v>1596</v>
      </c>
      <c r="F57" s="3" t="s">
        <v>1597</v>
      </c>
      <c r="G57" s="2" t="s">
        <v>1679</v>
      </c>
      <c r="H57" s="2" t="s">
        <v>1210</v>
      </c>
      <c r="I57" s="2" t="s">
        <v>484</v>
      </c>
      <c r="J57" s="7"/>
    </row>
    <row r="58" spans="1:10" ht="15.75" x14ac:dyDescent="0.25">
      <c r="A58" s="2" t="s">
        <v>524</v>
      </c>
      <c r="B58" s="2" t="s">
        <v>1191</v>
      </c>
      <c r="C58" s="2" t="s">
        <v>1340</v>
      </c>
      <c r="D58" s="2" t="s">
        <v>1237</v>
      </c>
      <c r="E58" s="3" t="s">
        <v>1419</v>
      </c>
      <c r="F58" s="3" t="s">
        <v>1420</v>
      </c>
      <c r="G58" s="2" t="s">
        <v>1687</v>
      </c>
      <c r="H58" s="2" t="s">
        <v>1196</v>
      </c>
      <c r="I58" s="2" t="s">
        <v>524</v>
      </c>
      <c r="J58" s="7"/>
    </row>
    <row r="59" spans="1:10" ht="15.75" x14ac:dyDescent="0.25">
      <c r="A59" s="2" t="s">
        <v>529</v>
      </c>
      <c r="B59" s="2" t="s">
        <v>1191</v>
      </c>
      <c r="C59" s="2" t="s">
        <v>1350</v>
      </c>
      <c r="D59" s="2" t="s">
        <v>1263</v>
      </c>
      <c r="E59" s="3" t="s">
        <v>1471</v>
      </c>
      <c r="F59" s="3" t="s">
        <v>1472</v>
      </c>
      <c r="G59" s="2" t="s">
        <v>338</v>
      </c>
      <c r="H59" s="2" t="s">
        <v>338</v>
      </c>
      <c r="I59" s="2" t="s">
        <v>529</v>
      </c>
      <c r="J59" s="7"/>
    </row>
    <row r="60" spans="1:10" ht="15.75" x14ac:dyDescent="0.25">
      <c r="A60" s="2" t="s">
        <v>543</v>
      </c>
      <c r="B60" s="2" t="s">
        <v>1191</v>
      </c>
      <c r="C60" s="2" t="s">
        <v>1340</v>
      </c>
      <c r="D60" s="2" t="s">
        <v>1238</v>
      </c>
      <c r="E60" s="3" t="s">
        <v>1421</v>
      </c>
      <c r="F60" s="3" t="s">
        <v>1422</v>
      </c>
      <c r="G60" s="2" t="s">
        <v>1687</v>
      </c>
      <c r="H60" s="2" t="s">
        <v>1196</v>
      </c>
      <c r="I60" s="2" t="s">
        <v>543</v>
      </c>
      <c r="J60" s="7"/>
    </row>
    <row r="61" spans="1:10" ht="15.75" x14ac:dyDescent="0.25">
      <c r="A61" s="10" t="s">
        <v>1675</v>
      </c>
      <c r="B61" s="2" t="s">
        <v>1211</v>
      </c>
      <c r="C61" s="2">
        <v>0</v>
      </c>
      <c r="D61" s="2" t="s">
        <v>1226</v>
      </c>
      <c r="E61" s="3" t="s">
        <v>1648</v>
      </c>
      <c r="F61" s="3" t="s">
        <v>1649</v>
      </c>
      <c r="G61" s="2" t="s">
        <v>1677</v>
      </c>
      <c r="H61" s="2" t="s">
        <v>1217</v>
      </c>
      <c r="I61" s="5"/>
      <c r="J61" s="7"/>
    </row>
    <row r="62" spans="1:10" ht="15.75" x14ac:dyDescent="0.25">
      <c r="A62" s="2" t="s">
        <v>1214</v>
      </c>
      <c r="B62" s="2" t="s">
        <v>1211</v>
      </c>
      <c r="C62" s="2">
        <v>0</v>
      </c>
      <c r="D62" s="2" t="s">
        <v>1226</v>
      </c>
      <c r="E62" s="3" t="s">
        <v>1628</v>
      </c>
      <c r="F62" s="3" t="s">
        <v>1629</v>
      </c>
      <c r="G62" s="2" t="s">
        <v>1199</v>
      </c>
      <c r="H62" s="2" t="s">
        <v>1199</v>
      </c>
      <c r="I62" s="2" t="s">
        <v>645</v>
      </c>
      <c r="J62" s="7"/>
    </row>
    <row r="63" spans="1:10" ht="15.75" x14ac:dyDescent="0.25">
      <c r="A63" s="2" t="s">
        <v>1223</v>
      </c>
      <c r="B63" s="2" t="s">
        <v>1211</v>
      </c>
      <c r="C63" s="2">
        <v>0</v>
      </c>
      <c r="D63" s="2" t="s">
        <v>1226</v>
      </c>
      <c r="E63" s="3" t="s">
        <v>1656</v>
      </c>
      <c r="F63" s="3" t="s">
        <v>1666</v>
      </c>
      <c r="G63" s="2" t="s">
        <v>1218</v>
      </c>
      <c r="H63" s="2" t="s">
        <v>1218</v>
      </c>
      <c r="I63" s="5"/>
      <c r="J63" s="7"/>
    </row>
    <row r="64" spans="1:10" ht="15.75" x14ac:dyDescent="0.25">
      <c r="A64" s="2" t="s">
        <v>568</v>
      </c>
      <c r="B64" s="2" t="s">
        <v>1191</v>
      </c>
      <c r="C64" s="2" t="s">
        <v>1363</v>
      </c>
      <c r="D64" s="2" t="s">
        <v>1280</v>
      </c>
      <c r="E64" s="3" t="s">
        <v>1509</v>
      </c>
      <c r="F64" s="3" t="s">
        <v>1510</v>
      </c>
      <c r="G64" s="2" t="s">
        <v>1686</v>
      </c>
      <c r="H64" s="2" t="s">
        <v>1204</v>
      </c>
      <c r="I64" s="2" t="s">
        <v>568</v>
      </c>
      <c r="J64" s="7"/>
    </row>
    <row r="65" spans="1:10" ht="15.75" x14ac:dyDescent="0.25">
      <c r="A65" s="2" t="s">
        <v>574</v>
      </c>
      <c r="B65" s="2" t="s">
        <v>1191</v>
      </c>
      <c r="C65" s="2" t="s">
        <v>1340</v>
      </c>
      <c r="D65" s="2" t="s">
        <v>1239</v>
      </c>
      <c r="E65" s="3" t="s">
        <v>1423</v>
      </c>
      <c r="F65" s="3" t="s">
        <v>1424</v>
      </c>
      <c r="G65" s="2" t="s">
        <v>1687</v>
      </c>
      <c r="H65" s="2" t="s">
        <v>1196</v>
      </c>
      <c r="I65" s="2" t="s">
        <v>574</v>
      </c>
      <c r="J65" s="7"/>
    </row>
    <row r="66" spans="1:10" ht="15.75" x14ac:dyDescent="0.25">
      <c r="A66" s="2" t="s">
        <v>576</v>
      </c>
      <c r="B66" s="2" t="s">
        <v>1191</v>
      </c>
      <c r="C66" s="2" t="s">
        <v>1340</v>
      </c>
      <c r="D66" s="2" t="s">
        <v>1240</v>
      </c>
      <c r="E66" s="3" t="s">
        <v>1425</v>
      </c>
      <c r="F66" s="3" t="s">
        <v>1426</v>
      </c>
      <c r="G66" s="2" t="s">
        <v>1687</v>
      </c>
      <c r="H66" s="2" t="s">
        <v>1196</v>
      </c>
      <c r="I66" s="2" t="s">
        <v>576</v>
      </c>
      <c r="J66" s="7"/>
    </row>
    <row r="67" spans="1:10" ht="47.25" x14ac:dyDescent="0.25">
      <c r="A67" s="2" t="s">
        <v>587</v>
      </c>
      <c r="B67" s="2" t="s">
        <v>1191</v>
      </c>
      <c r="C67" s="2" t="s">
        <v>1371</v>
      </c>
      <c r="D67" s="2" t="s">
        <v>1310</v>
      </c>
      <c r="E67" s="3" t="s">
        <v>1569</v>
      </c>
      <c r="F67" s="3" t="s">
        <v>1570</v>
      </c>
      <c r="G67" s="2" t="s">
        <v>1678</v>
      </c>
      <c r="H67" s="2" t="s">
        <v>1206</v>
      </c>
      <c r="I67" s="2" t="s">
        <v>587</v>
      </c>
      <c r="J67" s="7"/>
    </row>
    <row r="68" spans="1:10" ht="15.75" x14ac:dyDescent="0.25">
      <c r="A68" s="2" t="s">
        <v>595</v>
      </c>
      <c r="B68" s="2" t="s">
        <v>1191</v>
      </c>
      <c r="C68" s="2" t="s">
        <v>1347</v>
      </c>
      <c r="D68" s="2" t="s">
        <v>1260</v>
      </c>
      <c r="E68" s="3" t="s">
        <v>1465</v>
      </c>
      <c r="F68" s="3" t="s">
        <v>1466</v>
      </c>
      <c r="G68" s="2" t="s">
        <v>1199</v>
      </c>
      <c r="H68" s="2" t="s">
        <v>1199</v>
      </c>
      <c r="I68" s="2" t="s">
        <v>595</v>
      </c>
      <c r="J68" s="7"/>
    </row>
    <row r="69" spans="1:10" ht="15.75" x14ac:dyDescent="0.25">
      <c r="A69" s="2" t="s">
        <v>1224</v>
      </c>
      <c r="B69" s="2" t="s">
        <v>1211</v>
      </c>
      <c r="C69" s="2">
        <v>0</v>
      </c>
      <c r="D69" s="2" t="s">
        <v>1226</v>
      </c>
      <c r="E69" s="3" t="s">
        <v>1667</v>
      </c>
      <c r="F69" s="3" t="s">
        <v>1668</v>
      </c>
      <c r="G69" s="2" t="s">
        <v>1218</v>
      </c>
      <c r="H69" s="2" t="s">
        <v>1218</v>
      </c>
      <c r="I69" s="5"/>
      <c r="J69" s="7"/>
    </row>
    <row r="70" spans="1:10" ht="15.75" x14ac:dyDescent="0.25">
      <c r="A70" s="10" t="s">
        <v>1184</v>
      </c>
      <c r="B70" s="2" t="s">
        <v>1211</v>
      </c>
      <c r="C70" s="2" t="s">
        <v>1225</v>
      </c>
      <c r="D70" s="2" t="s">
        <v>1226</v>
      </c>
      <c r="E70" s="3" t="s">
        <v>1669</v>
      </c>
      <c r="F70" s="3" t="s">
        <v>1670</v>
      </c>
      <c r="G70" s="2" t="s">
        <v>1218</v>
      </c>
      <c r="H70" s="2" t="s">
        <v>1218</v>
      </c>
      <c r="I70" s="5"/>
      <c r="J70" s="7"/>
    </row>
    <row r="71" spans="1:10" ht="15.75" x14ac:dyDescent="0.25">
      <c r="A71" s="2" t="s">
        <v>667</v>
      </c>
      <c r="B71" s="2" t="s">
        <v>1191</v>
      </c>
      <c r="C71" s="2" t="s">
        <v>1364</v>
      </c>
      <c r="D71" s="2" t="s">
        <v>1281</v>
      </c>
      <c r="E71" s="3" t="s">
        <v>1511</v>
      </c>
      <c r="F71" s="3" t="s">
        <v>1512</v>
      </c>
      <c r="G71" s="2" t="s">
        <v>1686</v>
      </c>
      <c r="H71" s="2" t="s">
        <v>1204</v>
      </c>
      <c r="I71" s="2" t="s">
        <v>667</v>
      </c>
      <c r="J71" s="7"/>
    </row>
    <row r="72" spans="1:10" ht="15.75" x14ac:dyDescent="0.25">
      <c r="A72" s="10" t="s">
        <v>1139</v>
      </c>
      <c r="B72" s="2" t="s">
        <v>1211</v>
      </c>
      <c r="C72" s="2">
        <v>0</v>
      </c>
      <c r="D72" s="2" t="s">
        <v>1226</v>
      </c>
      <c r="E72" s="3" t="s">
        <v>1671</v>
      </c>
      <c r="F72" s="3" t="s">
        <v>1672</v>
      </c>
      <c r="G72" s="2" t="s">
        <v>1218</v>
      </c>
      <c r="H72" s="2" t="s">
        <v>1218</v>
      </c>
      <c r="I72" s="5"/>
      <c r="J72" s="7"/>
    </row>
    <row r="73" spans="1:10" ht="15.75" x14ac:dyDescent="0.25">
      <c r="A73" s="2" t="s">
        <v>669</v>
      </c>
      <c r="B73" s="2" t="s">
        <v>1191</v>
      </c>
      <c r="C73" s="2" t="s">
        <v>1372</v>
      </c>
      <c r="D73" s="2" t="s">
        <v>1311</v>
      </c>
      <c r="E73" s="3" t="s">
        <v>1571</v>
      </c>
      <c r="F73" s="3" t="s">
        <v>1572</v>
      </c>
      <c r="G73" s="2" t="s">
        <v>1678</v>
      </c>
      <c r="H73" s="2" t="s">
        <v>1206</v>
      </c>
      <c r="I73" s="2" t="s">
        <v>669</v>
      </c>
      <c r="J73" s="7"/>
    </row>
    <row r="74" spans="1:10" ht="15.75" x14ac:dyDescent="0.25">
      <c r="A74" s="2" t="s">
        <v>678</v>
      </c>
      <c r="B74" s="2" t="s">
        <v>1191</v>
      </c>
      <c r="C74" s="2" t="s">
        <v>1345</v>
      </c>
      <c r="D74" s="2" t="s">
        <v>1256</v>
      </c>
      <c r="E74" s="3" t="s">
        <v>1457</v>
      </c>
      <c r="F74" s="3" t="s">
        <v>1458</v>
      </c>
      <c r="G74" s="2" t="s">
        <v>1198</v>
      </c>
      <c r="H74" s="2" t="s">
        <v>1198</v>
      </c>
      <c r="I74" s="2" t="s">
        <v>678</v>
      </c>
      <c r="J74" s="7"/>
    </row>
    <row r="75" spans="1:10" ht="15.75" x14ac:dyDescent="0.25">
      <c r="A75" s="2" t="s">
        <v>680</v>
      </c>
      <c r="B75" s="2" t="s">
        <v>1191</v>
      </c>
      <c r="C75" s="2" t="s">
        <v>1345</v>
      </c>
      <c r="D75" s="2" t="s">
        <v>1257</v>
      </c>
      <c r="E75" s="3" t="s">
        <v>1459</v>
      </c>
      <c r="F75" s="3" t="s">
        <v>1460</v>
      </c>
      <c r="G75" s="2" t="s">
        <v>1198</v>
      </c>
      <c r="H75" s="2" t="s">
        <v>1198</v>
      </c>
      <c r="I75" s="2" t="s">
        <v>680</v>
      </c>
      <c r="J75" s="7"/>
    </row>
    <row r="76" spans="1:10" ht="15.75" x14ac:dyDescent="0.25">
      <c r="A76" s="2" t="s">
        <v>689</v>
      </c>
      <c r="B76" s="2" t="s">
        <v>1191</v>
      </c>
      <c r="C76" s="2" t="s">
        <v>1340</v>
      </c>
      <c r="D76" s="2" t="s">
        <v>1241</v>
      </c>
      <c r="E76" s="3" t="s">
        <v>1427</v>
      </c>
      <c r="F76" s="3" t="s">
        <v>1428</v>
      </c>
      <c r="G76" s="2" t="s">
        <v>1687</v>
      </c>
      <c r="H76" s="2" t="s">
        <v>1196</v>
      </c>
      <c r="I76" s="2" t="s">
        <v>689</v>
      </c>
      <c r="J76" s="7"/>
    </row>
    <row r="77" spans="1:10" ht="15.75" x14ac:dyDescent="0.25">
      <c r="A77" s="2" t="s">
        <v>1215</v>
      </c>
      <c r="B77" s="2" t="s">
        <v>1211</v>
      </c>
      <c r="C77" s="2">
        <v>0</v>
      </c>
      <c r="D77" s="2" t="s">
        <v>1226</v>
      </c>
      <c r="E77" s="3" t="s">
        <v>1630</v>
      </c>
      <c r="F77" s="3" t="s">
        <v>1631</v>
      </c>
      <c r="G77" s="2" t="s">
        <v>1199</v>
      </c>
      <c r="H77" s="2" t="s">
        <v>1199</v>
      </c>
      <c r="I77" s="2" t="s">
        <v>1012</v>
      </c>
      <c r="J77" s="7"/>
    </row>
    <row r="78" spans="1:10" ht="15.75" x14ac:dyDescent="0.25">
      <c r="A78" s="2" t="s">
        <v>706</v>
      </c>
      <c r="B78" s="2" t="s">
        <v>1191</v>
      </c>
      <c r="C78" s="2" t="s">
        <v>1340</v>
      </c>
      <c r="D78" s="2" t="s">
        <v>1242</v>
      </c>
      <c r="E78" s="3" t="s">
        <v>1429</v>
      </c>
      <c r="F78" s="3" t="s">
        <v>1430</v>
      </c>
      <c r="G78" s="2" t="s">
        <v>1687</v>
      </c>
      <c r="H78" s="2" t="s">
        <v>1196</v>
      </c>
      <c r="I78" s="2" t="s">
        <v>706</v>
      </c>
      <c r="J78" s="7"/>
    </row>
    <row r="79" spans="1:10" ht="15.75" x14ac:dyDescent="0.25">
      <c r="A79" s="10" t="s">
        <v>1137</v>
      </c>
      <c r="B79" s="2" t="s">
        <v>1211</v>
      </c>
      <c r="C79" s="2">
        <v>0</v>
      </c>
      <c r="D79" s="2" t="s">
        <v>1226</v>
      </c>
      <c r="E79" s="3" t="s">
        <v>1650</v>
      </c>
      <c r="F79" s="3" t="s">
        <v>1651</v>
      </c>
      <c r="G79" s="2" t="s">
        <v>1218</v>
      </c>
      <c r="H79" s="2" t="s">
        <v>1217</v>
      </c>
      <c r="I79" s="2" t="s">
        <v>1137</v>
      </c>
      <c r="J79" s="7"/>
    </row>
    <row r="80" spans="1:10" ht="15.75" x14ac:dyDescent="0.25">
      <c r="A80" s="2" t="s">
        <v>1207</v>
      </c>
      <c r="B80" s="2" t="s">
        <v>1191</v>
      </c>
      <c r="C80" s="2" t="s">
        <v>1373</v>
      </c>
      <c r="D80" s="2" t="s">
        <v>1312</v>
      </c>
      <c r="E80" s="3" t="s">
        <v>1573</v>
      </c>
      <c r="F80" s="3" t="s">
        <v>1574</v>
      </c>
      <c r="G80" s="2" t="s">
        <v>1678</v>
      </c>
      <c r="H80" s="2" t="s">
        <v>1206</v>
      </c>
      <c r="I80" s="2" t="s">
        <v>1208</v>
      </c>
      <c r="J80" s="7"/>
    </row>
    <row r="81" spans="1:10" ht="15.75" x14ac:dyDescent="0.25">
      <c r="A81" s="2" t="s">
        <v>728</v>
      </c>
      <c r="B81" s="2" t="s">
        <v>1191</v>
      </c>
      <c r="C81" s="2" t="s">
        <v>1345</v>
      </c>
      <c r="D81" s="2" t="s">
        <v>1258</v>
      </c>
      <c r="E81" s="3" t="s">
        <v>1461</v>
      </c>
      <c r="F81" s="3" t="s">
        <v>1462</v>
      </c>
      <c r="G81" s="2" t="s">
        <v>1688</v>
      </c>
      <c r="H81" s="2" t="s">
        <v>1198</v>
      </c>
      <c r="I81" s="2" t="s">
        <v>728</v>
      </c>
      <c r="J81" s="7"/>
    </row>
    <row r="82" spans="1:10" ht="31.5" x14ac:dyDescent="0.25">
      <c r="A82" s="2" t="s">
        <v>730</v>
      </c>
      <c r="B82" s="2" t="s">
        <v>1191</v>
      </c>
      <c r="C82" s="2" t="s">
        <v>1374</v>
      </c>
      <c r="D82" s="2" t="s">
        <v>1313</v>
      </c>
      <c r="E82" s="3" t="s">
        <v>1575</v>
      </c>
      <c r="F82" s="3" t="s">
        <v>1576</v>
      </c>
      <c r="G82" s="2" t="s">
        <v>1678</v>
      </c>
      <c r="H82" s="2" t="s">
        <v>1206</v>
      </c>
      <c r="I82" s="2" t="s">
        <v>730</v>
      </c>
      <c r="J82" s="7"/>
    </row>
    <row r="83" spans="1:10" ht="15.75" x14ac:dyDescent="0.25">
      <c r="A83" s="2" t="s">
        <v>762</v>
      </c>
      <c r="B83" s="2" t="s">
        <v>1191</v>
      </c>
      <c r="C83" s="2" t="s">
        <v>1342</v>
      </c>
      <c r="D83" s="2" t="s">
        <v>1245</v>
      </c>
      <c r="E83" s="3" t="s">
        <v>1435</v>
      </c>
      <c r="F83" s="3" t="s">
        <v>1436</v>
      </c>
      <c r="G83" s="2" t="s">
        <v>1197</v>
      </c>
      <c r="H83" s="2" t="s">
        <v>1197</v>
      </c>
      <c r="I83" s="2" t="s">
        <v>762</v>
      </c>
      <c r="J83" s="7"/>
    </row>
    <row r="84" spans="1:10" ht="15.75" x14ac:dyDescent="0.25">
      <c r="A84" s="2" t="s">
        <v>768</v>
      </c>
      <c r="B84" s="2" t="s">
        <v>1191</v>
      </c>
      <c r="C84" s="2" t="s">
        <v>1383</v>
      </c>
      <c r="D84" s="2" t="s">
        <v>1324</v>
      </c>
      <c r="E84" s="3" t="s">
        <v>1598</v>
      </c>
      <c r="F84" s="3" t="s">
        <v>1599</v>
      </c>
      <c r="G84" s="2" t="s">
        <v>1679</v>
      </c>
      <c r="H84" s="2" t="s">
        <v>1210</v>
      </c>
      <c r="I84" s="2" t="s">
        <v>768</v>
      </c>
      <c r="J84" s="7"/>
    </row>
    <row r="85" spans="1:10" ht="15.75" x14ac:dyDescent="0.25">
      <c r="A85" s="2" t="s">
        <v>771</v>
      </c>
      <c r="B85" s="2" t="s">
        <v>1191</v>
      </c>
      <c r="C85" s="2" t="s">
        <v>1384</v>
      </c>
      <c r="D85" s="2" t="s">
        <v>1325</v>
      </c>
      <c r="E85" s="3" t="s">
        <v>1600</v>
      </c>
      <c r="F85" s="3" t="s">
        <v>1601</v>
      </c>
      <c r="G85" s="2" t="s">
        <v>1679</v>
      </c>
      <c r="H85" s="2" t="s">
        <v>1210</v>
      </c>
      <c r="I85" s="2" t="s">
        <v>771</v>
      </c>
      <c r="J85" s="7"/>
    </row>
    <row r="86" spans="1:10" ht="15.75" x14ac:dyDescent="0.25">
      <c r="A86" s="2" t="s">
        <v>773</v>
      </c>
      <c r="B86" s="2" t="s">
        <v>1191</v>
      </c>
      <c r="C86" s="2" t="s">
        <v>1385</v>
      </c>
      <c r="D86" s="2" t="s">
        <v>1326</v>
      </c>
      <c r="E86" s="3" t="s">
        <v>1602</v>
      </c>
      <c r="F86" s="3" t="s">
        <v>1603</v>
      </c>
      <c r="G86" s="2" t="s">
        <v>1679</v>
      </c>
      <c r="H86" s="2" t="s">
        <v>1210</v>
      </c>
      <c r="I86" s="2" t="s">
        <v>773</v>
      </c>
      <c r="J86" s="7"/>
    </row>
    <row r="87" spans="1:10" ht="15.75" x14ac:dyDescent="0.25">
      <c r="A87" s="2" t="s">
        <v>775</v>
      </c>
      <c r="B87" s="2" t="s">
        <v>1191</v>
      </c>
      <c r="C87" s="2" t="s">
        <v>1386</v>
      </c>
      <c r="D87" s="2" t="s">
        <v>1327</v>
      </c>
      <c r="E87" s="3" t="s">
        <v>1604</v>
      </c>
      <c r="F87" s="3" t="s">
        <v>1605</v>
      </c>
      <c r="G87" s="2" t="s">
        <v>1679</v>
      </c>
      <c r="H87" s="2" t="s">
        <v>1210</v>
      </c>
      <c r="I87" s="2" t="s">
        <v>775</v>
      </c>
      <c r="J87" s="7"/>
    </row>
    <row r="88" spans="1:10" ht="15.75" x14ac:dyDescent="0.25">
      <c r="A88" s="2" t="s">
        <v>777</v>
      </c>
      <c r="B88" s="2" t="s">
        <v>1191</v>
      </c>
      <c r="C88" s="2" t="s">
        <v>1387</v>
      </c>
      <c r="D88" s="2" t="s">
        <v>1328</v>
      </c>
      <c r="E88" s="3" t="s">
        <v>1606</v>
      </c>
      <c r="F88" s="3" t="s">
        <v>1607</v>
      </c>
      <c r="G88" s="2" t="s">
        <v>1679</v>
      </c>
      <c r="H88" s="2" t="s">
        <v>1210</v>
      </c>
      <c r="I88" s="2" t="s">
        <v>777</v>
      </c>
      <c r="J88" s="7"/>
    </row>
    <row r="89" spans="1:10" ht="15.75" x14ac:dyDescent="0.25">
      <c r="A89" s="2" t="s">
        <v>779</v>
      </c>
      <c r="B89" s="2" t="s">
        <v>1191</v>
      </c>
      <c r="C89" s="2" t="s">
        <v>1388</v>
      </c>
      <c r="D89" s="2" t="s">
        <v>1329</v>
      </c>
      <c r="E89" s="3" t="s">
        <v>1608</v>
      </c>
      <c r="F89" s="3" t="s">
        <v>1609</v>
      </c>
      <c r="G89" s="2" t="s">
        <v>1679</v>
      </c>
      <c r="H89" s="2" t="s">
        <v>1210</v>
      </c>
      <c r="I89" s="2" t="s">
        <v>779</v>
      </c>
      <c r="J89" s="7"/>
    </row>
    <row r="90" spans="1:10" ht="15.75" x14ac:dyDescent="0.25">
      <c r="A90" s="2" t="s">
        <v>781</v>
      </c>
      <c r="B90" s="2" t="s">
        <v>1191</v>
      </c>
      <c r="C90" s="2" t="s">
        <v>1389</v>
      </c>
      <c r="D90" s="2" t="s">
        <v>1330</v>
      </c>
      <c r="E90" s="3" t="s">
        <v>1610</v>
      </c>
      <c r="F90" s="3" t="s">
        <v>1611</v>
      </c>
      <c r="G90" s="2" t="s">
        <v>1679</v>
      </c>
      <c r="H90" s="2" t="s">
        <v>1210</v>
      </c>
      <c r="I90" s="2" t="s">
        <v>781</v>
      </c>
      <c r="J90" s="7"/>
    </row>
    <row r="91" spans="1:10" ht="15.75" x14ac:dyDescent="0.25">
      <c r="A91" s="2" t="s">
        <v>783</v>
      </c>
      <c r="B91" s="2" t="s">
        <v>1191</v>
      </c>
      <c r="C91" s="2" t="s">
        <v>1390</v>
      </c>
      <c r="D91" s="2" t="s">
        <v>1331</v>
      </c>
      <c r="E91" s="3" t="s">
        <v>1612</v>
      </c>
      <c r="F91" s="3" t="s">
        <v>1613</v>
      </c>
      <c r="G91" s="2" t="s">
        <v>1679</v>
      </c>
      <c r="H91" s="2" t="s">
        <v>1210</v>
      </c>
      <c r="I91" s="2" t="s">
        <v>783</v>
      </c>
      <c r="J91" s="7"/>
    </row>
    <row r="92" spans="1:10" ht="15.75" x14ac:dyDescent="0.25">
      <c r="A92" s="2" t="s">
        <v>785</v>
      </c>
      <c r="B92" s="2" t="s">
        <v>1191</v>
      </c>
      <c r="C92" s="2" t="s">
        <v>1391</v>
      </c>
      <c r="D92" s="2" t="s">
        <v>1332</v>
      </c>
      <c r="E92" s="3" t="s">
        <v>1490</v>
      </c>
      <c r="F92" s="3" t="s">
        <v>1614</v>
      </c>
      <c r="G92" s="2" t="s">
        <v>1679</v>
      </c>
      <c r="H92" s="2" t="s">
        <v>1210</v>
      </c>
      <c r="I92" s="2" t="s">
        <v>785</v>
      </c>
      <c r="J92" s="7"/>
    </row>
    <row r="93" spans="1:10" ht="15.75" x14ac:dyDescent="0.25">
      <c r="A93" s="2" t="s">
        <v>787</v>
      </c>
      <c r="B93" s="2" t="s">
        <v>1191</v>
      </c>
      <c r="C93" s="2" t="s">
        <v>1392</v>
      </c>
      <c r="D93" s="2" t="s">
        <v>1333</v>
      </c>
      <c r="E93" s="3" t="s">
        <v>1615</v>
      </c>
      <c r="F93" s="3" t="s">
        <v>1616</v>
      </c>
      <c r="G93" s="2" t="s">
        <v>1679</v>
      </c>
      <c r="H93" s="2" t="s">
        <v>1210</v>
      </c>
      <c r="I93" s="2" t="s">
        <v>787</v>
      </c>
      <c r="J93" s="7"/>
    </row>
    <row r="94" spans="1:10" ht="15.75" x14ac:dyDescent="0.25">
      <c r="A94" s="2" t="s">
        <v>789</v>
      </c>
      <c r="B94" s="2" t="s">
        <v>1191</v>
      </c>
      <c r="C94" s="2" t="s">
        <v>1393</v>
      </c>
      <c r="D94" s="2" t="s">
        <v>1334</v>
      </c>
      <c r="E94" s="3" t="s">
        <v>1617</v>
      </c>
      <c r="F94" s="3" t="s">
        <v>1618</v>
      </c>
      <c r="G94" s="2" t="s">
        <v>1679</v>
      </c>
      <c r="H94" s="2" t="s">
        <v>1210</v>
      </c>
      <c r="I94" s="2" t="s">
        <v>789</v>
      </c>
      <c r="J94" s="7"/>
    </row>
    <row r="95" spans="1:10" ht="15.75" x14ac:dyDescent="0.25">
      <c r="A95" s="2" t="s">
        <v>791</v>
      </c>
      <c r="B95" s="2" t="s">
        <v>1191</v>
      </c>
      <c r="C95" s="2" t="s">
        <v>1394</v>
      </c>
      <c r="D95" s="2" t="s">
        <v>1335</v>
      </c>
      <c r="E95" s="3" t="s">
        <v>1619</v>
      </c>
      <c r="F95" s="3" t="s">
        <v>1620</v>
      </c>
      <c r="G95" s="2" t="s">
        <v>1679</v>
      </c>
      <c r="H95" s="2" t="s">
        <v>1210</v>
      </c>
      <c r="I95" s="2" t="s">
        <v>791</v>
      </c>
      <c r="J95" s="7"/>
    </row>
    <row r="96" spans="1:10" ht="15.75" x14ac:dyDescent="0.25">
      <c r="A96" s="2" t="s">
        <v>793</v>
      </c>
      <c r="B96" s="2" t="s">
        <v>1191</v>
      </c>
      <c r="C96" s="2" t="s">
        <v>1395</v>
      </c>
      <c r="D96" s="2" t="s">
        <v>1336</v>
      </c>
      <c r="E96" s="3" t="s">
        <v>1621</v>
      </c>
      <c r="F96" s="3" t="s">
        <v>1622</v>
      </c>
      <c r="G96" s="2" t="s">
        <v>1679</v>
      </c>
      <c r="H96" s="2" t="s">
        <v>1210</v>
      </c>
      <c r="I96" s="2" t="s">
        <v>793</v>
      </c>
      <c r="J96" s="7"/>
    </row>
    <row r="97" spans="1:10" ht="15.75" x14ac:dyDescent="0.25">
      <c r="A97" s="2" t="s">
        <v>795</v>
      </c>
      <c r="B97" s="2" t="s">
        <v>1191</v>
      </c>
      <c r="C97" s="2" t="s">
        <v>1396</v>
      </c>
      <c r="D97" s="2" t="s">
        <v>1337</v>
      </c>
      <c r="E97" s="3" t="s">
        <v>1498</v>
      </c>
      <c r="F97" s="3" t="s">
        <v>1623</v>
      </c>
      <c r="G97" s="2" t="s">
        <v>1679</v>
      </c>
      <c r="H97" s="2" t="s">
        <v>1210</v>
      </c>
      <c r="I97" s="2" t="s">
        <v>795</v>
      </c>
      <c r="J97" s="7"/>
    </row>
    <row r="98" spans="1:10" ht="15.75" x14ac:dyDescent="0.25">
      <c r="A98" s="2" t="s">
        <v>804</v>
      </c>
      <c r="B98" s="2" t="s">
        <v>1191</v>
      </c>
      <c r="C98" s="2" t="s">
        <v>1342</v>
      </c>
      <c r="D98" s="2" t="s">
        <v>1246</v>
      </c>
      <c r="E98" s="3" t="s">
        <v>1437</v>
      </c>
      <c r="F98" s="3" t="s">
        <v>1438</v>
      </c>
      <c r="G98" s="2" t="s">
        <v>1197</v>
      </c>
      <c r="H98" s="2" t="s">
        <v>1197</v>
      </c>
      <c r="I98" s="2" t="s">
        <v>804</v>
      </c>
      <c r="J98" s="7"/>
    </row>
    <row r="99" spans="1:10" ht="15.75" x14ac:dyDescent="0.25">
      <c r="A99" s="2" t="s">
        <v>816</v>
      </c>
      <c r="B99" s="2" t="s">
        <v>1211</v>
      </c>
      <c r="C99" s="2">
        <v>0</v>
      </c>
      <c r="D99" s="2" t="s">
        <v>1226</v>
      </c>
      <c r="E99" s="3" t="s">
        <v>1632</v>
      </c>
      <c r="F99" s="3" t="s">
        <v>1633</v>
      </c>
      <c r="G99" s="2" t="s">
        <v>1686</v>
      </c>
      <c r="H99" s="2" t="s">
        <v>1204</v>
      </c>
      <c r="I99" s="2" t="s">
        <v>816</v>
      </c>
      <c r="J99" s="7"/>
    </row>
    <row r="100" spans="1:10" ht="15.75" x14ac:dyDescent="0.25">
      <c r="A100" s="2" t="s">
        <v>827</v>
      </c>
      <c r="B100" s="2" t="s">
        <v>1191</v>
      </c>
      <c r="C100" s="2" t="s">
        <v>1363</v>
      </c>
      <c r="D100" s="2" t="s">
        <v>1282</v>
      </c>
      <c r="E100" s="3" t="s">
        <v>1513</v>
      </c>
      <c r="F100" s="3" t="s">
        <v>1514</v>
      </c>
      <c r="G100" s="2" t="s">
        <v>1686</v>
      </c>
      <c r="H100" s="2" t="s">
        <v>1204</v>
      </c>
      <c r="I100" s="2" t="s">
        <v>827</v>
      </c>
      <c r="J100" s="7"/>
    </row>
    <row r="101" spans="1:10" ht="15.75" x14ac:dyDescent="0.25">
      <c r="A101" s="2" t="s">
        <v>831</v>
      </c>
      <c r="B101" s="2" t="s">
        <v>1191</v>
      </c>
      <c r="C101" s="2" t="s">
        <v>1343</v>
      </c>
      <c r="D101" s="2" t="s">
        <v>1247</v>
      </c>
      <c r="E101" s="3" t="s">
        <v>1439</v>
      </c>
      <c r="F101" s="3" t="s">
        <v>1440</v>
      </c>
      <c r="G101" s="2" t="s">
        <v>1197</v>
      </c>
      <c r="H101" s="2" t="s">
        <v>1197</v>
      </c>
      <c r="I101" s="2" t="s">
        <v>831</v>
      </c>
      <c r="J101" s="7"/>
    </row>
    <row r="102" spans="1:10" ht="15.75" x14ac:dyDescent="0.25">
      <c r="A102" s="2" t="s">
        <v>837</v>
      </c>
      <c r="B102" s="2" t="s">
        <v>1211</v>
      </c>
      <c r="C102" s="2">
        <v>0</v>
      </c>
      <c r="D102" s="2" t="s">
        <v>1226</v>
      </c>
      <c r="E102" s="3" t="s">
        <v>1634</v>
      </c>
      <c r="F102" s="3" t="s">
        <v>1635</v>
      </c>
      <c r="G102" s="2" t="s">
        <v>1686</v>
      </c>
      <c r="H102" s="2" t="s">
        <v>1204</v>
      </c>
      <c r="I102" s="5"/>
      <c r="J102" s="7"/>
    </row>
    <row r="103" spans="1:10" ht="15.75" x14ac:dyDescent="0.25">
      <c r="A103" s="2" t="s">
        <v>845</v>
      </c>
      <c r="B103" s="2" t="s">
        <v>1191</v>
      </c>
      <c r="C103" s="2" t="s">
        <v>1375</v>
      </c>
      <c r="D103" s="2" t="s">
        <v>1314</v>
      </c>
      <c r="E103" s="3" t="s">
        <v>1577</v>
      </c>
      <c r="F103" s="3" t="s">
        <v>1578</v>
      </c>
      <c r="G103" s="2" t="s">
        <v>1678</v>
      </c>
      <c r="H103" s="2" t="s">
        <v>1206</v>
      </c>
      <c r="I103" s="2" t="s">
        <v>845</v>
      </c>
      <c r="J103" s="7"/>
    </row>
    <row r="104" spans="1:10" ht="15.75" x14ac:dyDescent="0.25">
      <c r="A104" s="2" t="s">
        <v>847</v>
      </c>
      <c r="B104" s="2" t="s">
        <v>1191</v>
      </c>
      <c r="C104" s="2" t="s">
        <v>1376</v>
      </c>
      <c r="D104" s="2" t="s">
        <v>1315</v>
      </c>
      <c r="E104" s="3" t="s">
        <v>1579</v>
      </c>
      <c r="F104" s="3" t="s">
        <v>1580</v>
      </c>
      <c r="G104" s="2" t="s">
        <v>1678</v>
      </c>
      <c r="H104" s="2" t="s">
        <v>1206</v>
      </c>
      <c r="I104" s="2" t="s">
        <v>847</v>
      </c>
      <c r="J104" s="7"/>
    </row>
    <row r="105" spans="1:10" ht="15.75" x14ac:dyDescent="0.25">
      <c r="A105" s="2" t="s">
        <v>855</v>
      </c>
      <c r="B105" s="2" t="s">
        <v>1211</v>
      </c>
      <c r="C105" s="2">
        <v>0</v>
      </c>
      <c r="D105" s="2" t="s">
        <v>1226</v>
      </c>
      <c r="E105" s="3" t="s">
        <v>1636</v>
      </c>
      <c r="F105" s="3" t="s">
        <v>1637</v>
      </c>
      <c r="G105" s="2" t="s">
        <v>1686</v>
      </c>
      <c r="H105" s="2" t="s">
        <v>1204</v>
      </c>
      <c r="I105" s="2" t="s">
        <v>855</v>
      </c>
      <c r="J105" s="7"/>
    </row>
    <row r="106" spans="1:10" ht="15.75" x14ac:dyDescent="0.25">
      <c r="A106" s="2" t="s">
        <v>887</v>
      </c>
      <c r="B106" s="2" t="s">
        <v>1191</v>
      </c>
      <c r="C106" s="2" t="s">
        <v>1363</v>
      </c>
      <c r="D106" s="2" t="s">
        <v>1283</v>
      </c>
      <c r="E106" s="3" t="s">
        <v>1515</v>
      </c>
      <c r="F106" s="3" t="s">
        <v>1516</v>
      </c>
      <c r="G106" s="2" t="s">
        <v>1686</v>
      </c>
      <c r="H106" s="2" t="s">
        <v>1204</v>
      </c>
      <c r="I106" s="2" t="s">
        <v>887</v>
      </c>
      <c r="J106" s="7"/>
    </row>
    <row r="107" spans="1:10" ht="15.75" x14ac:dyDescent="0.25">
      <c r="A107" s="2" t="s">
        <v>1177</v>
      </c>
      <c r="B107" s="2" t="s">
        <v>1191</v>
      </c>
      <c r="C107" s="2" t="s">
        <v>1351</v>
      </c>
      <c r="D107" s="2" t="s">
        <v>1264</v>
      </c>
      <c r="E107" s="3" t="s">
        <v>1473</v>
      </c>
      <c r="F107" s="3" t="s">
        <v>1474</v>
      </c>
      <c r="G107" s="2" t="s">
        <v>338</v>
      </c>
      <c r="H107" s="2" t="s">
        <v>338</v>
      </c>
      <c r="I107" s="2" t="s">
        <v>1177</v>
      </c>
      <c r="J107" s="7"/>
    </row>
    <row r="108" spans="1:10" ht="31.5" x14ac:dyDescent="0.25">
      <c r="A108" s="2" t="s">
        <v>894</v>
      </c>
      <c r="B108" s="2" t="s">
        <v>1191</v>
      </c>
      <c r="C108" s="2" t="s">
        <v>1377</v>
      </c>
      <c r="D108" s="2" t="s">
        <v>1316</v>
      </c>
      <c r="E108" s="3" t="s">
        <v>1581</v>
      </c>
      <c r="F108" s="3" t="s">
        <v>1582</v>
      </c>
      <c r="G108" s="2" t="s">
        <v>1678</v>
      </c>
      <c r="H108" s="2" t="s">
        <v>1206</v>
      </c>
      <c r="I108" s="2" t="s">
        <v>894</v>
      </c>
      <c r="J108" s="7"/>
    </row>
    <row r="109" spans="1:10" ht="47.25" x14ac:dyDescent="0.25">
      <c r="A109" s="2" t="s">
        <v>902</v>
      </c>
      <c r="B109" s="2" t="s">
        <v>1191</v>
      </c>
      <c r="C109" s="2" t="s">
        <v>1362</v>
      </c>
      <c r="D109" s="2" t="s">
        <v>1275</v>
      </c>
      <c r="E109" s="3" t="s">
        <v>1497</v>
      </c>
      <c r="F109" s="3" t="s">
        <v>1498</v>
      </c>
      <c r="G109" s="2" t="s">
        <v>1200</v>
      </c>
      <c r="H109" s="2" t="s">
        <v>1200</v>
      </c>
      <c r="I109" s="2" t="s">
        <v>902</v>
      </c>
      <c r="J109" s="7"/>
    </row>
    <row r="110" spans="1:10" ht="15.75" x14ac:dyDescent="0.25">
      <c r="A110" s="2" t="s">
        <v>904</v>
      </c>
      <c r="B110" s="2" t="s">
        <v>1191</v>
      </c>
      <c r="C110" s="2" t="s">
        <v>1344</v>
      </c>
      <c r="D110" s="2" t="s">
        <v>1248</v>
      </c>
      <c r="E110" s="3" t="s">
        <v>1441</v>
      </c>
      <c r="F110" s="3" t="s">
        <v>1442</v>
      </c>
      <c r="G110" s="2" t="s">
        <v>1197</v>
      </c>
      <c r="H110" s="2" t="s">
        <v>1197</v>
      </c>
      <c r="I110" s="2" t="s">
        <v>904</v>
      </c>
      <c r="J110" s="7"/>
    </row>
    <row r="111" spans="1:10" ht="15.75" x14ac:dyDescent="0.25">
      <c r="A111" s="2" t="s">
        <v>910</v>
      </c>
      <c r="B111" s="2" t="s">
        <v>1191</v>
      </c>
      <c r="C111" s="2" t="s">
        <v>1382</v>
      </c>
      <c r="D111" s="2" t="s">
        <v>1321</v>
      </c>
      <c r="E111" s="3" t="s">
        <v>1592</v>
      </c>
      <c r="F111" s="3" t="s">
        <v>1593</v>
      </c>
      <c r="G111" s="2" t="s">
        <v>22</v>
      </c>
      <c r="H111" s="2" t="s">
        <v>22</v>
      </c>
      <c r="I111" s="2" t="s">
        <v>910</v>
      </c>
      <c r="J111" s="7"/>
    </row>
    <row r="112" spans="1:10" ht="15.75" x14ac:dyDescent="0.25">
      <c r="A112" s="2" t="s">
        <v>917</v>
      </c>
      <c r="B112" s="2" t="s">
        <v>1191</v>
      </c>
      <c r="C112" s="2" t="s">
        <v>1363</v>
      </c>
      <c r="D112" s="2" t="s">
        <v>1284</v>
      </c>
      <c r="E112" s="3" t="s">
        <v>1517</v>
      </c>
      <c r="F112" s="3" t="s">
        <v>1518</v>
      </c>
      <c r="G112" s="2" t="s">
        <v>1686</v>
      </c>
      <c r="H112" s="2" t="s">
        <v>1204</v>
      </c>
      <c r="I112" s="2" t="s">
        <v>917</v>
      </c>
      <c r="J112" s="7"/>
    </row>
    <row r="113" spans="1:10" ht="15.75" x14ac:dyDescent="0.25">
      <c r="A113" s="2" t="s">
        <v>925</v>
      </c>
      <c r="B113" s="2" t="s">
        <v>1191</v>
      </c>
      <c r="C113" s="2" t="s">
        <v>1363</v>
      </c>
      <c r="D113" s="2" t="s">
        <v>1285</v>
      </c>
      <c r="E113" s="3" t="s">
        <v>1519</v>
      </c>
      <c r="F113" s="3" t="s">
        <v>1520</v>
      </c>
      <c r="G113" s="2" t="s">
        <v>1686</v>
      </c>
      <c r="H113" s="2" t="s">
        <v>1204</v>
      </c>
      <c r="I113" s="2" t="s">
        <v>925</v>
      </c>
      <c r="J113" s="7"/>
    </row>
    <row r="114" spans="1:10" ht="15.75" x14ac:dyDescent="0.25">
      <c r="A114" s="2" t="s">
        <v>931</v>
      </c>
      <c r="B114" s="2" t="s">
        <v>1191</v>
      </c>
      <c r="C114" s="2" t="s">
        <v>1343</v>
      </c>
      <c r="D114" s="2" t="s">
        <v>1249</v>
      </c>
      <c r="E114" s="3" t="s">
        <v>1443</v>
      </c>
      <c r="F114" s="3" t="s">
        <v>1444</v>
      </c>
      <c r="G114" s="2" t="s">
        <v>1197</v>
      </c>
      <c r="H114" s="2" t="s">
        <v>1197</v>
      </c>
      <c r="I114" s="2" t="s">
        <v>931</v>
      </c>
      <c r="J114" s="7"/>
    </row>
    <row r="115" spans="1:10" ht="15.75" x14ac:dyDescent="0.25">
      <c r="A115" s="2" t="s">
        <v>937</v>
      </c>
      <c r="B115" s="2" t="s">
        <v>1191</v>
      </c>
      <c r="C115" s="2" t="s">
        <v>1363</v>
      </c>
      <c r="D115" s="2" t="s">
        <v>1286</v>
      </c>
      <c r="E115" s="3" t="s">
        <v>1521</v>
      </c>
      <c r="F115" s="3" t="s">
        <v>1522</v>
      </c>
      <c r="G115" s="2" t="s">
        <v>1686</v>
      </c>
      <c r="H115" s="2" t="s">
        <v>1204</v>
      </c>
      <c r="I115" s="2" t="s">
        <v>937</v>
      </c>
      <c r="J115" s="7"/>
    </row>
    <row r="116" spans="1:10" ht="15.75" x14ac:dyDescent="0.25">
      <c r="A116" s="2" t="s">
        <v>941</v>
      </c>
      <c r="B116" s="2" t="s">
        <v>1191</v>
      </c>
      <c r="C116" s="2" t="s">
        <v>1363</v>
      </c>
      <c r="D116" s="2" t="s">
        <v>1287</v>
      </c>
      <c r="E116" s="3" t="s">
        <v>1523</v>
      </c>
      <c r="F116" s="3" t="s">
        <v>1524</v>
      </c>
      <c r="G116" s="2" t="s">
        <v>1686</v>
      </c>
      <c r="H116" s="2" t="s">
        <v>1204</v>
      </c>
      <c r="I116" s="2" t="s">
        <v>941</v>
      </c>
      <c r="J116" s="7"/>
    </row>
    <row r="117" spans="1:10" ht="15.75" x14ac:dyDescent="0.25">
      <c r="A117" s="2" t="s">
        <v>943</v>
      </c>
      <c r="B117" s="2" t="s">
        <v>1191</v>
      </c>
      <c r="C117" s="2" t="s">
        <v>1363</v>
      </c>
      <c r="D117" s="2" t="s">
        <v>1288</v>
      </c>
      <c r="E117" s="3" t="s">
        <v>1525</v>
      </c>
      <c r="F117" s="3" t="s">
        <v>1526</v>
      </c>
      <c r="G117" s="2" t="s">
        <v>1686</v>
      </c>
      <c r="H117" s="2" t="s">
        <v>1204</v>
      </c>
      <c r="I117" s="2" t="s">
        <v>943</v>
      </c>
      <c r="J117" s="7"/>
    </row>
    <row r="118" spans="1:10" ht="15.75" x14ac:dyDescent="0.25">
      <c r="A118" s="2" t="s">
        <v>947</v>
      </c>
      <c r="B118" s="2" t="s">
        <v>1191</v>
      </c>
      <c r="C118" s="2" t="s">
        <v>1363</v>
      </c>
      <c r="D118" s="2" t="s">
        <v>1289</v>
      </c>
      <c r="E118" s="3" t="s">
        <v>1527</v>
      </c>
      <c r="F118" s="3" t="s">
        <v>1528</v>
      </c>
      <c r="G118" s="2" t="s">
        <v>1686</v>
      </c>
      <c r="H118" s="2" t="s">
        <v>1204</v>
      </c>
      <c r="I118" s="2" t="s">
        <v>947</v>
      </c>
      <c r="J118" s="7"/>
    </row>
    <row r="119" spans="1:10" ht="15.75" x14ac:dyDescent="0.25">
      <c r="A119" s="2" t="s">
        <v>949</v>
      </c>
      <c r="B119" s="2" t="s">
        <v>1191</v>
      </c>
      <c r="C119" s="2" t="s">
        <v>1363</v>
      </c>
      <c r="D119" s="2" t="s">
        <v>1290</v>
      </c>
      <c r="E119" s="3" t="s">
        <v>1529</v>
      </c>
      <c r="F119" s="3" t="s">
        <v>1530</v>
      </c>
      <c r="G119" s="2" t="s">
        <v>1686</v>
      </c>
      <c r="H119" s="2" t="s">
        <v>1204</v>
      </c>
      <c r="I119" s="2" t="s">
        <v>949</v>
      </c>
      <c r="J119" s="7"/>
    </row>
    <row r="120" spans="1:10" ht="15.75" x14ac:dyDescent="0.25">
      <c r="A120" s="2" t="s">
        <v>949</v>
      </c>
      <c r="B120" s="2" t="s">
        <v>1211</v>
      </c>
      <c r="C120" s="2">
        <v>0</v>
      </c>
      <c r="D120" s="2" t="s">
        <v>1226</v>
      </c>
      <c r="E120" s="3" t="s">
        <v>1638</v>
      </c>
      <c r="F120" s="3" t="s">
        <v>1639</v>
      </c>
      <c r="G120" s="2" t="s">
        <v>1686</v>
      </c>
      <c r="H120" s="2" t="s">
        <v>1204</v>
      </c>
      <c r="I120" s="5"/>
      <c r="J120" s="7"/>
    </row>
    <row r="121" spans="1:10" ht="15.75" x14ac:dyDescent="0.25">
      <c r="A121" s="2" t="s">
        <v>961</v>
      </c>
      <c r="B121" s="2" t="s">
        <v>1191</v>
      </c>
      <c r="C121" s="2" t="s">
        <v>1352</v>
      </c>
      <c r="D121" s="2" t="s">
        <v>1265</v>
      </c>
      <c r="E121" s="3" t="s">
        <v>1475</v>
      </c>
      <c r="F121" s="3" t="s">
        <v>1476</v>
      </c>
      <c r="G121" s="2" t="s">
        <v>338</v>
      </c>
      <c r="H121" s="2" t="s">
        <v>338</v>
      </c>
      <c r="I121" s="2" t="s">
        <v>961</v>
      </c>
      <c r="J121" s="7"/>
    </row>
    <row r="122" spans="1:10" ht="15.75" x14ac:dyDescent="0.25">
      <c r="A122" s="2" t="s">
        <v>965</v>
      </c>
      <c r="B122" s="2" t="s">
        <v>1191</v>
      </c>
      <c r="C122" s="2" t="s">
        <v>1353</v>
      </c>
      <c r="D122" s="2" t="s">
        <v>1266</v>
      </c>
      <c r="E122" s="3" t="s">
        <v>1477</v>
      </c>
      <c r="F122" s="3" t="s">
        <v>1478</v>
      </c>
      <c r="G122" s="2" t="s">
        <v>338</v>
      </c>
      <c r="H122" s="2" t="s">
        <v>338</v>
      </c>
      <c r="I122" s="2" t="s">
        <v>965</v>
      </c>
      <c r="J122" s="7"/>
    </row>
    <row r="123" spans="1:10" ht="15.75" x14ac:dyDescent="0.25">
      <c r="A123" s="2" t="s">
        <v>973</v>
      </c>
      <c r="B123" s="2" t="s">
        <v>1191</v>
      </c>
      <c r="C123" s="2" t="s">
        <v>1363</v>
      </c>
      <c r="D123" s="2" t="s">
        <v>1291</v>
      </c>
      <c r="E123" s="3" t="s">
        <v>1531</v>
      </c>
      <c r="F123" s="3" t="s">
        <v>1532</v>
      </c>
      <c r="G123" s="2" t="s">
        <v>1686</v>
      </c>
      <c r="H123" s="2" t="s">
        <v>1204</v>
      </c>
      <c r="I123" s="2" t="s">
        <v>973</v>
      </c>
      <c r="J123" s="7"/>
    </row>
    <row r="124" spans="1:10" ht="15.75" x14ac:dyDescent="0.25">
      <c r="A124" s="2" t="s">
        <v>977</v>
      </c>
      <c r="B124" s="2" t="s">
        <v>1191</v>
      </c>
      <c r="C124" s="2" t="s">
        <v>1363</v>
      </c>
      <c r="D124" s="2" t="s">
        <v>1292</v>
      </c>
      <c r="E124" s="3" t="s">
        <v>1533</v>
      </c>
      <c r="F124" s="3" t="s">
        <v>1534</v>
      </c>
      <c r="G124" s="2" t="s">
        <v>1686</v>
      </c>
      <c r="H124" s="2" t="s">
        <v>1204</v>
      </c>
      <c r="I124" s="2" t="s">
        <v>977</v>
      </c>
      <c r="J124" s="7"/>
    </row>
    <row r="125" spans="1:10" ht="15.75" x14ac:dyDescent="0.25">
      <c r="A125" s="2" t="s">
        <v>983</v>
      </c>
      <c r="B125" s="2" t="s">
        <v>1191</v>
      </c>
      <c r="C125" s="2" t="s">
        <v>1363</v>
      </c>
      <c r="D125" s="2" t="s">
        <v>1293</v>
      </c>
      <c r="E125" s="3" t="s">
        <v>1535</v>
      </c>
      <c r="F125" s="3" t="s">
        <v>1536</v>
      </c>
      <c r="G125" s="2" t="s">
        <v>1686</v>
      </c>
      <c r="H125" s="2" t="s">
        <v>1204</v>
      </c>
      <c r="I125" s="2" t="s">
        <v>983</v>
      </c>
      <c r="J125" s="7"/>
    </row>
    <row r="126" spans="1:10" ht="15.75" x14ac:dyDescent="0.25">
      <c r="A126" s="2" t="s">
        <v>991</v>
      </c>
      <c r="B126" s="2" t="s">
        <v>1191</v>
      </c>
      <c r="C126" s="2" t="s">
        <v>1378</v>
      </c>
      <c r="D126" s="2" t="s">
        <v>1317</v>
      </c>
      <c r="E126" s="3" t="s">
        <v>1583</v>
      </c>
      <c r="F126" s="3" t="s">
        <v>1584</v>
      </c>
      <c r="G126" s="2" t="s">
        <v>1678</v>
      </c>
      <c r="H126" s="2" t="s">
        <v>1206</v>
      </c>
      <c r="I126" s="2" t="s">
        <v>991</v>
      </c>
      <c r="J126" s="7"/>
    </row>
    <row r="127" spans="1:10" ht="15.75" x14ac:dyDescent="0.25">
      <c r="A127" s="2" t="s">
        <v>993</v>
      </c>
      <c r="B127" s="2" t="s">
        <v>1191</v>
      </c>
      <c r="C127" s="2" t="s">
        <v>1363</v>
      </c>
      <c r="D127" s="2" t="s">
        <v>1294</v>
      </c>
      <c r="E127" s="3" t="s">
        <v>1537</v>
      </c>
      <c r="F127" s="3" t="s">
        <v>1538</v>
      </c>
      <c r="G127" s="2" t="s">
        <v>1686</v>
      </c>
      <c r="H127" s="2" t="s">
        <v>1204</v>
      </c>
      <c r="I127" s="2" t="s">
        <v>993</v>
      </c>
      <c r="J127" s="7"/>
    </row>
    <row r="128" spans="1:10" ht="15.75" x14ac:dyDescent="0.25">
      <c r="A128" s="2" t="s">
        <v>999</v>
      </c>
      <c r="B128" s="2" t="s">
        <v>1191</v>
      </c>
      <c r="C128" s="2" t="s">
        <v>1363</v>
      </c>
      <c r="D128" s="2" t="s">
        <v>1295</v>
      </c>
      <c r="E128" s="3" t="s">
        <v>1539</v>
      </c>
      <c r="F128" s="3" t="s">
        <v>1540</v>
      </c>
      <c r="G128" s="2" t="s">
        <v>1686</v>
      </c>
      <c r="H128" s="2" t="s">
        <v>1204</v>
      </c>
      <c r="I128" s="2" t="s">
        <v>999</v>
      </c>
      <c r="J128" s="7"/>
    </row>
    <row r="129" spans="1:10" ht="31.5" x14ac:dyDescent="0.25">
      <c r="A129" s="2" t="s">
        <v>1004</v>
      </c>
      <c r="B129" s="2" t="s">
        <v>1191</v>
      </c>
      <c r="C129" s="2" t="s">
        <v>1379</v>
      </c>
      <c r="D129" s="2" t="s">
        <v>1318</v>
      </c>
      <c r="E129" s="3" t="s">
        <v>1585</v>
      </c>
      <c r="F129" s="3" t="s">
        <v>1586</v>
      </c>
      <c r="G129" s="2" t="s">
        <v>1678</v>
      </c>
      <c r="H129" s="2" t="s">
        <v>1206</v>
      </c>
      <c r="I129" s="2" t="s">
        <v>1004</v>
      </c>
      <c r="J129" s="7"/>
    </row>
    <row r="130" spans="1:10" ht="15.75" x14ac:dyDescent="0.25">
      <c r="A130" s="2" t="s">
        <v>1014</v>
      </c>
      <c r="B130" s="2" t="s">
        <v>1191</v>
      </c>
      <c r="C130" s="2" t="s">
        <v>1363</v>
      </c>
      <c r="D130" s="2" t="s">
        <v>1296</v>
      </c>
      <c r="E130" s="3" t="s">
        <v>1541</v>
      </c>
      <c r="F130" s="3" t="s">
        <v>1542</v>
      </c>
      <c r="G130" s="2" t="s">
        <v>1686</v>
      </c>
      <c r="H130" s="2" t="s">
        <v>1204</v>
      </c>
      <c r="I130" s="2" t="s">
        <v>1014</v>
      </c>
      <c r="J130" s="7"/>
    </row>
    <row r="131" spans="1:10" ht="15.75" x14ac:dyDescent="0.25">
      <c r="A131" s="2" t="s">
        <v>1020</v>
      </c>
      <c r="B131" s="2" t="s">
        <v>1191</v>
      </c>
      <c r="C131" s="2" t="s">
        <v>1363</v>
      </c>
      <c r="D131" s="2" t="s">
        <v>1297</v>
      </c>
      <c r="E131" s="3" t="s">
        <v>1543</v>
      </c>
      <c r="F131" s="3" t="s">
        <v>1544</v>
      </c>
      <c r="G131" s="2" t="s">
        <v>1686</v>
      </c>
      <c r="H131" s="2" t="s">
        <v>1204</v>
      </c>
      <c r="I131" s="2" t="s">
        <v>1020</v>
      </c>
      <c r="J131" s="7"/>
    </row>
    <row r="132" spans="1:10" ht="15.75" x14ac:dyDescent="0.25">
      <c r="A132" s="2" t="s">
        <v>1022</v>
      </c>
      <c r="B132" s="2" t="s">
        <v>1191</v>
      </c>
      <c r="C132" s="2" t="s">
        <v>1363</v>
      </c>
      <c r="D132" s="2" t="s">
        <v>1298</v>
      </c>
      <c r="E132" s="3" t="s">
        <v>1545</v>
      </c>
      <c r="F132" s="3" t="s">
        <v>1546</v>
      </c>
      <c r="G132" s="2" t="s">
        <v>1686</v>
      </c>
      <c r="H132" s="2" t="s">
        <v>1204</v>
      </c>
      <c r="I132" s="2" t="s">
        <v>1022</v>
      </c>
      <c r="J132" s="7"/>
    </row>
    <row r="133" spans="1:10" ht="15.75" x14ac:dyDescent="0.25">
      <c r="A133" s="2" t="s">
        <v>1024</v>
      </c>
      <c r="B133" s="2" t="s">
        <v>1191</v>
      </c>
      <c r="C133" s="2" t="s">
        <v>1382</v>
      </c>
      <c r="D133" s="2" t="s">
        <v>1322</v>
      </c>
      <c r="E133" s="3" t="s">
        <v>1594</v>
      </c>
      <c r="F133" s="3" t="s">
        <v>1595</v>
      </c>
      <c r="G133" s="2" t="s">
        <v>22</v>
      </c>
      <c r="H133" s="2" t="s">
        <v>22</v>
      </c>
      <c r="I133" s="2" t="s">
        <v>1024</v>
      </c>
      <c r="J133" s="7"/>
    </row>
    <row r="134" spans="1:10" ht="15.75" x14ac:dyDescent="0.25">
      <c r="A134" s="2" t="s">
        <v>1032</v>
      </c>
      <c r="B134" s="2" t="s">
        <v>1191</v>
      </c>
      <c r="C134" s="2" t="s">
        <v>1380</v>
      </c>
      <c r="D134" s="2" t="s">
        <v>1319</v>
      </c>
      <c r="E134" s="3" t="s">
        <v>1519</v>
      </c>
      <c r="F134" s="3" t="s">
        <v>1587</v>
      </c>
      <c r="G134" s="2" t="s">
        <v>1678</v>
      </c>
      <c r="H134" s="2" t="s">
        <v>1206</v>
      </c>
      <c r="I134" s="2" t="s">
        <v>1032</v>
      </c>
      <c r="J134" s="7"/>
    </row>
    <row r="135" spans="1:10" ht="15.75" x14ac:dyDescent="0.25">
      <c r="A135" s="2" t="s">
        <v>1034</v>
      </c>
      <c r="B135" s="2" t="s">
        <v>1191</v>
      </c>
      <c r="C135" s="2" t="s">
        <v>1363</v>
      </c>
      <c r="D135" s="2" t="s">
        <v>1299</v>
      </c>
      <c r="E135" s="3" t="s">
        <v>1547</v>
      </c>
      <c r="F135" s="3" t="s">
        <v>1548</v>
      </c>
      <c r="G135" s="2" t="s">
        <v>1686</v>
      </c>
      <c r="H135" s="2" t="s">
        <v>1204</v>
      </c>
      <c r="I135" s="2" t="s">
        <v>1034</v>
      </c>
      <c r="J135" s="7"/>
    </row>
    <row r="136" spans="1:10" ht="15.75" x14ac:dyDescent="0.25">
      <c r="A136" s="2" t="s">
        <v>1051</v>
      </c>
      <c r="B136" s="2" t="s">
        <v>1191</v>
      </c>
      <c r="C136" s="2" t="s">
        <v>1363</v>
      </c>
      <c r="D136" s="2" t="s">
        <v>1300</v>
      </c>
      <c r="E136" s="3" t="s">
        <v>1549</v>
      </c>
      <c r="F136" s="3" t="s">
        <v>1550</v>
      </c>
      <c r="G136" s="2" t="s">
        <v>1686</v>
      </c>
      <c r="H136" s="2" t="s">
        <v>1204</v>
      </c>
      <c r="I136" s="2" t="s">
        <v>1051</v>
      </c>
      <c r="J136" s="7"/>
    </row>
    <row r="137" spans="1:10" ht="15.75" x14ac:dyDescent="0.25">
      <c r="A137" s="2" t="s">
        <v>1065</v>
      </c>
      <c r="B137" s="2" t="s">
        <v>1191</v>
      </c>
      <c r="C137" s="2" t="s">
        <v>1340</v>
      </c>
      <c r="D137" s="2" t="s">
        <v>1243</v>
      </c>
      <c r="E137" s="3" t="s">
        <v>1431</v>
      </c>
      <c r="F137" s="3" t="s">
        <v>1432</v>
      </c>
      <c r="G137" s="2" t="s">
        <v>1687</v>
      </c>
      <c r="H137" s="2" t="s">
        <v>1196</v>
      </c>
      <c r="I137" s="2" t="s">
        <v>1065</v>
      </c>
      <c r="J137" s="7"/>
    </row>
    <row r="138" spans="1:10" ht="15.75" x14ac:dyDescent="0.25">
      <c r="A138" s="2" t="s">
        <v>1205</v>
      </c>
      <c r="B138" s="2" t="s">
        <v>1191</v>
      </c>
      <c r="C138" s="2" t="s">
        <v>1363</v>
      </c>
      <c r="D138" s="2" t="s">
        <v>1301</v>
      </c>
      <c r="E138" s="3" t="s">
        <v>1551</v>
      </c>
      <c r="F138" s="3" t="s">
        <v>1552</v>
      </c>
      <c r="G138" s="2" t="s">
        <v>1686</v>
      </c>
      <c r="H138" s="2" t="s">
        <v>1204</v>
      </c>
      <c r="I138" s="2" t="s">
        <v>1071</v>
      </c>
      <c r="J138" s="7"/>
    </row>
    <row r="139" spans="1:10" ht="15.75" x14ac:dyDescent="0.25">
      <c r="A139" s="2" t="s">
        <v>1086</v>
      </c>
      <c r="B139" s="2" t="s">
        <v>1191</v>
      </c>
      <c r="C139" s="2" t="s">
        <v>1363</v>
      </c>
      <c r="D139" s="2" t="s">
        <v>1302</v>
      </c>
      <c r="E139" s="3" t="s">
        <v>1553</v>
      </c>
      <c r="F139" s="3" t="s">
        <v>1554</v>
      </c>
      <c r="G139" s="2" t="s">
        <v>1686</v>
      </c>
      <c r="H139" s="2" t="s">
        <v>1204</v>
      </c>
      <c r="I139" s="2" t="s">
        <v>1086</v>
      </c>
      <c r="J139" s="7"/>
    </row>
    <row r="140" spans="1:10" ht="15.75" x14ac:dyDescent="0.25">
      <c r="A140" s="2" t="s">
        <v>1090</v>
      </c>
      <c r="B140" s="2" t="s">
        <v>1191</v>
      </c>
      <c r="C140" s="2" t="s">
        <v>1363</v>
      </c>
      <c r="D140" s="2" t="s">
        <v>1303</v>
      </c>
      <c r="E140" s="3" t="s">
        <v>1555</v>
      </c>
      <c r="F140" s="3" t="s">
        <v>1556</v>
      </c>
      <c r="G140" s="2" t="s">
        <v>1686</v>
      </c>
      <c r="H140" s="2" t="s">
        <v>1204</v>
      </c>
      <c r="I140" s="2" t="s">
        <v>1090</v>
      </c>
      <c r="J140" s="7"/>
    </row>
    <row r="141" spans="1:10" ht="31.5" x14ac:dyDescent="0.25">
      <c r="A141" s="2" t="s">
        <v>1107</v>
      </c>
      <c r="B141" s="2" t="s">
        <v>1191</v>
      </c>
      <c r="C141" s="2" t="s">
        <v>1381</v>
      </c>
      <c r="D141" s="2" t="s">
        <v>1320</v>
      </c>
      <c r="E141" s="3" t="s">
        <v>1588</v>
      </c>
      <c r="F141" s="3" t="s">
        <v>1589</v>
      </c>
      <c r="G141" s="2" t="s">
        <v>1678</v>
      </c>
      <c r="H141" s="2" t="s">
        <v>1206</v>
      </c>
      <c r="I141" s="2" t="s">
        <v>1107</v>
      </c>
      <c r="J141" s="7"/>
    </row>
    <row r="142" spans="1:10" ht="15.75" x14ac:dyDescent="0.25">
      <c r="A142" s="8"/>
    </row>
    <row r="143" spans="1:10" ht="15.75" x14ac:dyDescent="0.25">
      <c r="A143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8EA8B-BEFE-45D8-819B-04BB61B5E52D}">
  <sheetPr codeName="Sheet3"/>
  <dimension ref="A1:V55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5" sqref="A5"/>
    </sheetView>
  </sheetViews>
  <sheetFormatPr defaultRowHeight="15" x14ac:dyDescent="0.25"/>
  <cols>
    <col min="1" max="1" width="49.28515625" style="7" bestFit="1" customWidth="1"/>
    <col min="2" max="2" width="16.5703125" style="7" customWidth="1"/>
    <col min="3" max="4" width="9.28515625" style="7" bestFit="1" customWidth="1"/>
    <col min="5" max="6" width="9.28515625" style="7" customWidth="1"/>
    <col min="7" max="9" width="26.28515625" style="7" customWidth="1"/>
    <col min="10" max="10" width="20.28515625" style="7" bestFit="1" customWidth="1"/>
    <col min="11" max="11" width="18.28515625" style="7" bestFit="1" customWidth="1"/>
    <col min="12" max="12" width="19.28515625" style="7" bestFit="1" customWidth="1"/>
    <col min="13" max="13" width="44.85546875" style="11" customWidth="1"/>
    <col min="14" max="14" width="117.5703125" style="7" customWidth="1"/>
    <col min="15" max="15" width="9.140625" style="7"/>
    <col min="16" max="16" width="15" style="7" customWidth="1"/>
    <col min="17" max="17" width="11.42578125" style="6" customWidth="1"/>
    <col min="18" max="18" width="11.85546875" style="6" customWidth="1"/>
    <col min="19" max="19" width="12" style="7" bestFit="1" customWidth="1"/>
    <col min="20" max="20" width="16.42578125" style="7" bestFit="1" customWidth="1"/>
    <col min="21" max="21" width="15" style="7" customWidth="1"/>
    <col min="22" max="22" width="14" style="7" customWidth="1"/>
    <col min="23" max="16384" width="9.140625" style="7"/>
  </cols>
  <sheetData>
    <row r="1" spans="1:22" s="12" customFormat="1" x14ac:dyDescent="0.25">
      <c r="C1" s="22" t="s">
        <v>48</v>
      </c>
      <c r="D1" s="22"/>
      <c r="E1" s="22" t="s">
        <v>1699</v>
      </c>
      <c r="F1" s="22"/>
      <c r="G1" s="13"/>
      <c r="H1" s="13"/>
      <c r="I1" s="13"/>
      <c r="J1" s="14"/>
      <c r="K1" s="14"/>
      <c r="L1" s="14"/>
      <c r="M1" s="15"/>
      <c r="Q1" s="16"/>
      <c r="R1" s="16"/>
    </row>
    <row r="2" spans="1:22" s="6" customFormat="1" x14ac:dyDescent="0.25">
      <c r="A2" s="6" t="s">
        <v>1134</v>
      </c>
      <c r="B2" s="6" t="s">
        <v>1186</v>
      </c>
      <c r="C2" s="17" t="s">
        <v>0</v>
      </c>
      <c r="D2" s="17" t="s">
        <v>1</v>
      </c>
      <c r="E2" s="17" t="s">
        <v>1698</v>
      </c>
      <c r="F2" s="17" t="s">
        <v>1700</v>
      </c>
      <c r="G2" s="17" t="s">
        <v>1706</v>
      </c>
      <c r="H2" s="17" t="s">
        <v>1697</v>
      </c>
      <c r="I2" s="17" t="s">
        <v>2235</v>
      </c>
      <c r="J2" s="17" t="s">
        <v>3</v>
      </c>
      <c r="K2" s="17" t="s">
        <v>1133</v>
      </c>
      <c r="L2" s="17" t="s">
        <v>1694</v>
      </c>
      <c r="M2" s="6" t="s">
        <v>4</v>
      </c>
      <c r="N2" s="6" t="s">
        <v>1705</v>
      </c>
      <c r="P2" s="6" t="s">
        <v>1186</v>
      </c>
      <c r="Q2" s="6" t="s">
        <v>1695</v>
      </c>
      <c r="R2" s="6" t="s">
        <v>1696</v>
      </c>
      <c r="S2" s="6" t="s">
        <v>1701</v>
      </c>
      <c r="T2" s="6" t="s">
        <v>1704</v>
      </c>
      <c r="U2" s="6" t="s">
        <v>1702</v>
      </c>
      <c r="V2" s="6" t="s">
        <v>1703</v>
      </c>
    </row>
    <row r="3" spans="1:22" ht="30" x14ac:dyDescent="0.25">
      <c r="A3" s="7" t="s">
        <v>5</v>
      </c>
      <c r="B3" s="7" t="s">
        <v>1187</v>
      </c>
      <c r="C3" s="6">
        <v>2255</v>
      </c>
      <c r="D3" s="6">
        <v>4834</v>
      </c>
      <c r="E3" s="6" t="str">
        <f>IFERROR(VLOOKUP($A3,tWA[],5,FALSE),"--")</f>
        <v>--</v>
      </c>
      <c r="F3" s="6" t="str">
        <f>IFERROR(VLOOKUP($A3,tWA[],6,FALSE),"--")</f>
        <v>--</v>
      </c>
      <c r="G3" s="18" t="s">
        <v>1707</v>
      </c>
      <c r="H3" s="18">
        <f>VALUE(_xlfn.TEXTBEFORE(G3,","))- 16.65</f>
        <v>2397.636</v>
      </c>
      <c r="I3" s="18" t="str">
        <f>TEXT(H3, "####.###") &amp; ", " &amp; _xlfn.TEXTAFTER(G3,",")</f>
        <v>2397.636,  2301.02</v>
      </c>
      <c r="J3" s="6" t="s">
        <v>1677</v>
      </c>
      <c r="K3" s="6" t="s">
        <v>7</v>
      </c>
      <c r="L3" s="6" t="s">
        <v>6</v>
      </c>
      <c r="M3" s="11" t="s">
        <v>1226</v>
      </c>
      <c r="N3" s="7" t="str">
        <f>"{""name"": """&amp;A3&amp;""", " &amp;
"""map"": """&amp;B3&amp;""", " &amp;
"""fCoords"": """&amp;C3&amp;", "&amp;D3&amp;""", " &amp;
"""waCoords"": """&amp;E3&amp;", "&amp;F3&amp;""", " &amp;
"""leaflet"": """ &amp; I3 &amp; """, " &amp;
"""pinType"": """ &amp; J3 &amp; """, " &amp;
"""mapRef"": """ &amp; K3 &amp; """, " &amp;
"""type"": """ &amp; L3 &amp; """, " &amp;
"""description"": """ &amp; M3 &amp; """},"</f>
        <v>{"name": "Acadamie of Classical Dance", "map": "Haven", "fCoords": "2255, 4834", "waCoords": "--, --", "leaflet": "2397.636,  2301.02", "pinType": "Service", "mapRef": "Map Ref.: G07 (MG)", "type": "Dance", "description": ""},</v>
      </c>
      <c r="P3" s="7" t="s">
        <v>1684</v>
      </c>
      <c r="Q3" s="6">
        <v>2600</v>
      </c>
      <c r="R3" s="6">
        <v>3300</v>
      </c>
      <c r="T3" s="7" t="e">
        <f>1/($S3/100)</f>
        <v>#DIV/0!</v>
      </c>
      <c r="U3" s="19" t="e">
        <f>+Table1[[#This Row],[W]]*$T3</f>
        <v>#DIV/0!</v>
      </c>
      <c r="V3" s="19" t="e">
        <f>+Table1[[#This Row],[H]]*1/($S3/100)</f>
        <v>#DIV/0!</v>
      </c>
    </row>
    <row r="4" spans="1:22" ht="30" x14ac:dyDescent="0.25">
      <c r="A4" s="7" t="s">
        <v>8</v>
      </c>
      <c r="B4" s="7" t="s">
        <v>1187</v>
      </c>
      <c r="C4" s="6">
        <v>1251</v>
      </c>
      <c r="D4" s="6">
        <v>5359</v>
      </c>
      <c r="E4" s="6" t="str">
        <f>IFERROR(VLOOKUP($A4,tWA[],5,FALSE),"--")</f>
        <v>1244</v>
      </c>
      <c r="F4" s="6" t="str">
        <f>IFERROR(VLOOKUP($A4,tWA[],6,FALSE),"--")</f>
        <v>1820</v>
      </c>
      <c r="G4" s="18" t="s">
        <v>1708</v>
      </c>
      <c r="H4" s="18">
        <f t="shared" ref="H4:H67" si="0">VALUE(_xlfn.TEXTBEFORE(G4,","))- 16.65</f>
        <v>1861.9209999999998</v>
      </c>
      <c r="I4" s="18" t="str">
        <f t="shared" ref="I4:I67" si="1">TEXT(H4, "####.###") &amp; ", " &amp; _xlfn.TEXTAFTER(G4,",")</f>
        <v>1861.921,  1276.531</v>
      </c>
      <c r="J4" s="6" t="s">
        <v>9</v>
      </c>
      <c r="K4" s="6" t="s">
        <v>10</v>
      </c>
      <c r="L4" s="6" t="s">
        <v>9</v>
      </c>
      <c r="M4" s="11" t="s">
        <v>1338</v>
      </c>
      <c r="N4" s="7" t="str">
        <f t="shared" ref="N4:N67" si="2">"{""name"": """&amp;A4&amp;""", " &amp;
"""map"": """&amp;B4&amp;""", " &amp;
"""fCoords"": """&amp;C4&amp;", "&amp;D4&amp;""", " &amp;
"""waCoords"": """&amp;E4&amp;", "&amp;F4&amp;""", " &amp;
"""leaflet"": """ &amp; I4 &amp; """, " &amp;
"""pinType"": """ &amp; J4 &amp; """, " &amp;
"""mapRef"": """ &amp; K4 &amp; """, " &amp;
"""type"": """ &amp; L4 &amp; """, " &amp;
"""description"": """ &amp; M4 &amp; """},"</f>
        <v>{"name": "Academy Armory", "map": "Haven", "fCoords": "1251, 5359", "waCoords": "1244, 1820", "leaflet": "1861.921,  1276.531", "pinType": "City Guard", "mapRef": "Map Ref.: D06 (OP)", "type": "City Guard", "description": "Part of the City Watch Academy"},</v>
      </c>
      <c r="P4" s="7" t="s">
        <v>1187</v>
      </c>
      <c r="Q4" s="6">
        <v>7200</v>
      </c>
      <c r="R4" s="6">
        <v>7200</v>
      </c>
      <c r="S4" s="7">
        <v>98</v>
      </c>
      <c r="T4" s="7">
        <f>1/($S4/100)</f>
        <v>1.0204081632653061</v>
      </c>
      <c r="U4" s="19">
        <f>+Table1[[#This Row],[W]]*$T4</f>
        <v>7346.9387755102043</v>
      </c>
      <c r="V4" s="19">
        <f>+Table1[[#This Row],[H]]*1/($S4/100)</f>
        <v>7346.9387755102043</v>
      </c>
    </row>
    <row r="5" spans="1:22" ht="30" x14ac:dyDescent="0.25">
      <c r="A5" s="7" t="s">
        <v>11</v>
      </c>
      <c r="B5" s="7" t="s">
        <v>1187</v>
      </c>
      <c r="C5" s="6">
        <v>1195</v>
      </c>
      <c r="D5" s="6">
        <v>5250</v>
      </c>
      <c r="E5" s="6" t="str">
        <f>IFERROR(VLOOKUP($A5,tWA[],5,FALSE),"--")</f>
        <v>1185</v>
      </c>
      <c r="F5" s="6" t="str">
        <f>IFERROR(VLOOKUP($A5,tWA[],6,FALSE),"--")</f>
        <v>1912</v>
      </c>
      <c r="G5" s="18" t="s">
        <v>1709</v>
      </c>
      <c r="H5" s="18">
        <f t="shared" si="0"/>
        <v>1973.146</v>
      </c>
      <c r="I5" s="18" t="str">
        <f t="shared" si="1"/>
        <v>1973.146,  1219.388</v>
      </c>
      <c r="J5" s="6" t="s">
        <v>9</v>
      </c>
      <c r="K5" s="6" t="s">
        <v>12</v>
      </c>
      <c r="L5" s="6" t="s">
        <v>9</v>
      </c>
      <c r="M5" s="11" t="s">
        <v>1338</v>
      </c>
      <c r="N5" s="7" t="str">
        <f t="shared" si="2"/>
        <v>{"name": "Academy Barracks", "map": "Haven", "fCoords": "1195, 5250", "waCoords": "1185, 1912", "leaflet": "1973.146,  1219.388", "pinType": "City Guard", "mapRef": "Map Ref.: D06 (OO)", "type": "City Guard", "description": "Part of the City Watch Academy"},</v>
      </c>
      <c r="P5" s="7" t="s">
        <v>1211</v>
      </c>
      <c r="Q5" s="6">
        <v>1003</v>
      </c>
      <c r="R5" s="6">
        <v>1855</v>
      </c>
      <c r="T5" s="7" t="e">
        <f>1/($S5/100)</f>
        <v>#DIV/0!</v>
      </c>
      <c r="U5" s="19" t="e">
        <f>+Table1[[#This Row],[W]]*$T5</f>
        <v>#DIV/0!</v>
      </c>
      <c r="V5" s="19" t="e">
        <f>+Table1[[#This Row],[H]]*1/($S5/100)</f>
        <v>#DIV/0!</v>
      </c>
    </row>
    <row r="6" spans="1:22" ht="30" x14ac:dyDescent="0.25">
      <c r="A6" s="7" t="s">
        <v>13</v>
      </c>
      <c r="B6" s="7" t="s">
        <v>1187</v>
      </c>
      <c r="C6" s="6">
        <v>1352</v>
      </c>
      <c r="D6" s="6">
        <v>5271</v>
      </c>
      <c r="E6" s="6" t="str">
        <f>IFERROR(VLOOKUP($A6,tWA[],5,FALSE),"--")</f>
        <v>1336</v>
      </c>
      <c r="F6" s="6" t="str">
        <f>IFERROR(VLOOKUP($A6,tWA[],6,FALSE),"--")</f>
        <v>1880</v>
      </c>
      <c r="G6" s="18" t="s">
        <v>1710</v>
      </c>
      <c r="H6" s="18">
        <f t="shared" si="0"/>
        <v>1951.7169999999999</v>
      </c>
      <c r="I6" s="18" t="str">
        <f t="shared" si="1"/>
        <v>1951.717,  1379.592</v>
      </c>
      <c r="J6" s="6" t="s">
        <v>9</v>
      </c>
      <c r="K6" s="6" t="s">
        <v>14</v>
      </c>
      <c r="L6" s="6" t="s">
        <v>9</v>
      </c>
      <c r="M6" s="11" t="s">
        <v>1338</v>
      </c>
      <c r="N6" s="7" t="str">
        <f t="shared" si="2"/>
        <v>{"name": "Academy Training Field", "map": "Haven", "fCoords": "1352, 5271", "waCoords": "1336, 1880", "leaflet": "1951.717,  1379.592", "pinType": "City Guard", "mapRef": "Map Ref.: D06 (OQ)", "type": "City Guard", "description": "Part of the City Watch Academy"},</v>
      </c>
    </row>
    <row r="7" spans="1:22" ht="30" x14ac:dyDescent="0.25">
      <c r="A7" s="7" t="s">
        <v>15</v>
      </c>
      <c r="B7" s="7" t="s">
        <v>1187</v>
      </c>
      <c r="C7" s="6">
        <v>6237</v>
      </c>
      <c r="D7" s="6">
        <v>5348</v>
      </c>
      <c r="E7" s="6" t="str">
        <f>IFERROR(VLOOKUP($A7,tWA[],5,FALSE),"--")</f>
        <v>--</v>
      </c>
      <c r="F7" s="6" t="str">
        <f>IFERROR(VLOOKUP($A7,tWA[],6,FALSE),"--")</f>
        <v>--</v>
      </c>
      <c r="G7" s="18" t="s">
        <v>1711</v>
      </c>
      <c r="H7" s="18">
        <f t="shared" si="0"/>
        <v>1873.146</v>
      </c>
      <c r="I7" s="18" t="str">
        <f t="shared" si="1"/>
        <v>1873.146,  6364.286</v>
      </c>
      <c r="J7" s="6" t="s">
        <v>1204</v>
      </c>
      <c r="K7" s="6" t="s">
        <v>17</v>
      </c>
      <c r="L7" s="6" t="s">
        <v>16</v>
      </c>
      <c r="M7" s="11" t="s">
        <v>1226</v>
      </c>
      <c r="N7" s="7" t="str">
        <f t="shared" si="2"/>
        <v>{"name": "Alekhine's Boarding House", "map": "Haven", "fCoords": "6237, 5348", "waCoords": "--, --", "leaflet": "1873.146,  6364.286", "pinType": "Inns &amp; Taverns", "mapRef": "Map Ref.: U06 (AQ)", "type": "Inn", "description": ""},</v>
      </c>
    </row>
    <row r="8" spans="1:22" ht="30" x14ac:dyDescent="0.25">
      <c r="A8" s="7" t="s">
        <v>18</v>
      </c>
      <c r="B8" s="7" t="s">
        <v>1187</v>
      </c>
      <c r="C8" s="6">
        <v>3939</v>
      </c>
      <c r="D8" s="6">
        <v>5371</v>
      </c>
      <c r="E8" s="6" t="str">
        <f>IFERROR(VLOOKUP($A8,tWA[],5,FALSE),"--")</f>
        <v>--</v>
      </c>
      <c r="F8" s="6" t="str">
        <f>IFERROR(VLOOKUP($A8,tWA[],6,FALSE),"--")</f>
        <v>--</v>
      </c>
      <c r="G8" s="18" t="s">
        <v>1712</v>
      </c>
      <c r="H8" s="18">
        <f t="shared" si="0"/>
        <v>1849.6769999999999</v>
      </c>
      <c r="I8" s="18" t="str">
        <f t="shared" si="1"/>
        <v>1849.677,  4019.388</v>
      </c>
      <c r="J8" s="6" t="s">
        <v>1199</v>
      </c>
      <c r="K8" s="6" t="s">
        <v>20</v>
      </c>
      <c r="L8" s="6" t="s">
        <v>19</v>
      </c>
      <c r="M8" s="11" t="s">
        <v>1226</v>
      </c>
      <c r="N8" s="7" t="str">
        <f t="shared" si="2"/>
        <v>{"name": "Ambrosia", "map": "Haven", "fCoords": "3939, 5371", "waCoords": "--, --", "leaflet": "1849.677,  4019.388", "pinType": "Entertainment", "mapRef": "Map Ref.: M06 (DW)", "type": "Brothel", "description": ""},</v>
      </c>
    </row>
    <row r="9" spans="1:22" ht="30" x14ac:dyDescent="0.25">
      <c r="A9" s="7" t="s">
        <v>21</v>
      </c>
      <c r="B9" s="7" t="s">
        <v>1187</v>
      </c>
      <c r="C9" s="6">
        <v>2321</v>
      </c>
      <c r="D9" s="6">
        <v>998</v>
      </c>
      <c r="E9" s="6" t="str">
        <f>IFERROR(VLOOKUP($A9,tWA[],5,FALSE),"--")</f>
        <v>--</v>
      </c>
      <c r="F9" s="6" t="str">
        <f>IFERROR(VLOOKUP($A9,tWA[],6,FALSE),"--")</f>
        <v>--</v>
      </c>
      <c r="G9" s="18" t="s">
        <v>1713</v>
      </c>
      <c r="H9" s="18">
        <f t="shared" si="0"/>
        <v>6311.9210000000003</v>
      </c>
      <c r="I9" s="18" t="str">
        <f t="shared" si="1"/>
        <v>6311.921,  2368.367</v>
      </c>
      <c r="J9" s="6" t="s">
        <v>22</v>
      </c>
      <c r="K9" s="6" t="s">
        <v>23</v>
      </c>
      <c r="L9" s="6" t="s">
        <v>22</v>
      </c>
      <c r="M9" s="11" t="s">
        <v>1226</v>
      </c>
      <c r="N9" s="7" t="str">
        <f t="shared" si="2"/>
        <v>{"name": "Americus - Healer", "map": "Haven", "fCoords": "2321, 998", "waCoords": "--, --", "leaflet": "6311.921,  2368.367", "pinType": "Medical", "mapRef": "Map Ref.: H20 (CN)", "type": "Medical", "description": ""},</v>
      </c>
    </row>
    <row r="10" spans="1:22" ht="30" x14ac:dyDescent="0.25">
      <c r="A10" s="7" t="s">
        <v>24</v>
      </c>
      <c r="B10" s="7" t="s">
        <v>1187</v>
      </c>
      <c r="C10" s="6">
        <v>6488</v>
      </c>
      <c r="D10" s="6">
        <v>5064</v>
      </c>
      <c r="E10" s="6" t="str">
        <f>IFERROR(VLOOKUP($A10,tWA[],5,FALSE),"--")</f>
        <v>--</v>
      </c>
      <c r="F10" s="6" t="str">
        <f>IFERROR(VLOOKUP($A10,tWA[],6,FALSE),"--")</f>
        <v>--</v>
      </c>
      <c r="G10" s="18" t="s">
        <v>1714</v>
      </c>
      <c r="H10" s="18">
        <f t="shared" si="0"/>
        <v>2162.942</v>
      </c>
      <c r="I10" s="18" t="str">
        <f t="shared" si="1"/>
        <v>2162.942,  6620.408</v>
      </c>
      <c r="J10" s="6" t="s">
        <v>1218</v>
      </c>
      <c r="K10" s="6" t="s">
        <v>26</v>
      </c>
      <c r="L10" s="6" t="s">
        <v>25</v>
      </c>
      <c r="M10" s="11" t="s">
        <v>1226</v>
      </c>
      <c r="N10" s="7" t="str">
        <f t="shared" si="2"/>
        <v>{"name": "Andre de Monteville's Spice Emporium", "map": "Haven", "fCoords": "6488, 5064", "waCoords": "--, --", "leaflet": "2162.942,  6620.408", "pinType": "Shopping", "mapRef": "Map Ref.: V07 (BR)", "type": "Spices", "description": ""},</v>
      </c>
    </row>
    <row r="11" spans="1:22" ht="30" x14ac:dyDescent="0.25">
      <c r="A11" s="7" t="s">
        <v>27</v>
      </c>
      <c r="B11" s="7" t="s">
        <v>1187</v>
      </c>
      <c r="C11" s="6">
        <v>2238</v>
      </c>
      <c r="D11" s="6">
        <v>995</v>
      </c>
      <c r="E11" s="6" t="str">
        <f>IFERROR(VLOOKUP($A11,tWA[],5,FALSE),"--")</f>
        <v>--</v>
      </c>
      <c r="F11" s="6" t="str">
        <f>IFERROR(VLOOKUP($A11,tWA[],6,FALSE),"--")</f>
        <v>--</v>
      </c>
      <c r="G11" s="18" t="s">
        <v>1715</v>
      </c>
      <c r="H11" s="18">
        <f t="shared" si="0"/>
        <v>6314.9830000000002</v>
      </c>
      <c r="I11" s="18" t="str">
        <f t="shared" si="1"/>
        <v>6314.983,  2283.673</v>
      </c>
      <c r="J11" s="6" t="s">
        <v>1218</v>
      </c>
      <c r="K11" s="6" t="s">
        <v>28</v>
      </c>
      <c r="L11" s="6" t="s">
        <v>25</v>
      </c>
      <c r="M11" s="11" t="s">
        <v>1226</v>
      </c>
      <c r="N11" s="7" t="str">
        <f t="shared" si="2"/>
        <v>{"name": "Anise Thyme's Spice Rack", "map": "Haven", "fCoords": "2238, 995", "waCoords": "--, --", "leaflet": "6314.983,  2283.673", "pinType": "Shopping", "mapRef": "Map Ref.: G20 (CM)", "type": "Spices", "description": ""},</v>
      </c>
    </row>
    <row r="12" spans="1:22" ht="30" x14ac:dyDescent="0.25">
      <c r="A12" s="7" t="s">
        <v>29</v>
      </c>
      <c r="B12" s="7" t="s">
        <v>1187</v>
      </c>
      <c r="C12" s="6">
        <v>751</v>
      </c>
      <c r="D12" s="6">
        <v>2991</v>
      </c>
      <c r="E12" s="6" t="str">
        <f>IFERROR(VLOOKUP($A12,tWA[],5,FALSE),"--")</f>
        <v>--</v>
      </c>
      <c r="F12" s="6" t="str">
        <f>IFERROR(VLOOKUP($A12,tWA[],6,FALSE),"--")</f>
        <v>--</v>
      </c>
      <c r="G12" s="18" t="s">
        <v>1716</v>
      </c>
      <c r="H12" s="18">
        <f t="shared" si="0"/>
        <v>4278.2480000000005</v>
      </c>
      <c r="I12" s="18" t="str">
        <f t="shared" si="1"/>
        <v>4278.248,  766.327</v>
      </c>
      <c r="J12" s="6" t="s">
        <v>1218</v>
      </c>
      <c r="K12" s="6" t="s">
        <v>31</v>
      </c>
      <c r="L12" s="6" t="s">
        <v>30</v>
      </c>
      <c r="M12" s="11" t="s">
        <v>1226</v>
      </c>
      <c r="N12" s="7" t="str">
        <f t="shared" si="2"/>
        <v>{"name": "Apex Metalworks", "map": "Haven", "fCoords": "751, 2991", "waCoords": "--, --", "leaflet": "4278.248,  766.327", "pinType": "Shopping", "mapRef": "Map Ref.: B13 (IF)", "type": "Metalwork", "description": ""},</v>
      </c>
    </row>
    <row r="13" spans="1:22" ht="30" x14ac:dyDescent="0.25">
      <c r="A13" s="7" t="s">
        <v>32</v>
      </c>
      <c r="B13" s="7" t="s">
        <v>1187</v>
      </c>
      <c r="C13" s="6">
        <v>2229</v>
      </c>
      <c r="D13" s="6">
        <v>1030</v>
      </c>
      <c r="E13" s="6" t="str">
        <f>IFERROR(VLOOKUP($A13,tWA[],5,FALSE),"--")</f>
        <v>--</v>
      </c>
      <c r="F13" s="6" t="str">
        <f>IFERROR(VLOOKUP($A13,tWA[],6,FALSE),"--")</f>
        <v>--</v>
      </c>
      <c r="G13" s="18" t="s">
        <v>1717</v>
      </c>
      <c r="H13" s="18">
        <f t="shared" si="0"/>
        <v>6279.268</v>
      </c>
      <c r="I13" s="18" t="str">
        <f t="shared" si="1"/>
        <v>6279.268,  2274.49</v>
      </c>
      <c r="J13" s="6" t="s">
        <v>1677</v>
      </c>
      <c r="K13" s="6" t="s">
        <v>34</v>
      </c>
      <c r="L13" s="6" t="s">
        <v>33</v>
      </c>
      <c r="M13" s="11" t="s">
        <v>1226</v>
      </c>
      <c r="N13" s="7" t="str">
        <f t="shared" si="2"/>
        <v>{"name": "Arkmonides - Scribe", "map": "Haven", "fCoords": "2229, 1030", "waCoords": "--, --", "leaflet": "6279.268,  2274.49", "pinType": "Service", "mapRef": "Map Ref.: G20 (CG)", "type": "Scribe", "description": ""},</v>
      </c>
    </row>
    <row r="14" spans="1:22" ht="30" x14ac:dyDescent="0.25">
      <c r="A14" s="7" t="s">
        <v>35</v>
      </c>
      <c r="B14" s="7" t="s">
        <v>1187</v>
      </c>
      <c r="C14" s="6">
        <v>4020</v>
      </c>
      <c r="D14" s="6">
        <v>5405</v>
      </c>
      <c r="E14" s="6" t="str">
        <f>IFERROR(VLOOKUP($A14,tWA[],5,FALSE),"--")</f>
        <v>--</v>
      </c>
      <c r="F14" s="6" t="str">
        <f>IFERROR(VLOOKUP($A14,tWA[],6,FALSE),"--")</f>
        <v>--</v>
      </c>
      <c r="G14" s="18" t="s">
        <v>1718</v>
      </c>
      <c r="H14" s="18">
        <f t="shared" si="0"/>
        <v>1814.9829999999999</v>
      </c>
      <c r="I14" s="18" t="str">
        <f t="shared" si="1"/>
        <v>1814.983,  4102.041</v>
      </c>
      <c r="J14" s="6" t="s">
        <v>1218</v>
      </c>
      <c r="K14" s="6" t="s">
        <v>37</v>
      </c>
      <c r="L14" s="6" t="s">
        <v>36</v>
      </c>
      <c r="M14" s="11" t="s">
        <v>1226</v>
      </c>
      <c r="N14" s="7" t="str">
        <f t="shared" si="2"/>
        <v>{"name": "Avrodel's Wine Shop", "map": "Haven", "fCoords": "4020, 5405", "waCoords": "--, --", "leaflet": "1814.983,  4102.041", "pinType": "Shopping", "mapRef": "Map Ref.: M05 (DT)", "type": "Vintner", "description": ""},</v>
      </c>
    </row>
    <row r="15" spans="1:22" ht="30" x14ac:dyDescent="0.25">
      <c r="A15" s="7" t="s">
        <v>38</v>
      </c>
      <c r="B15" s="7" t="s">
        <v>1187</v>
      </c>
      <c r="C15" s="6">
        <v>3017</v>
      </c>
      <c r="D15" s="6">
        <v>4524</v>
      </c>
      <c r="E15" s="6" t="str">
        <f>IFERROR(VLOOKUP($A15,tWA[],5,FALSE),"--")</f>
        <v>--</v>
      </c>
      <c r="F15" s="6" t="str">
        <f>IFERROR(VLOOKUP($A15,tWA[],6,FALSE),"--")</f>
        <v>--</v>
      </c>
      <c r="G15" s="18" t="s">
        <v>1719</v>
      </c>
      <c r="H15" s="18">
        <f t="shared" si="0"/>
        <v>2713.962</v>
      </c>
      <c r="I15" s="18" t="str">
        <f t="shared" si="1"/>
        <v>2713.962,  3078.571</v>
      </c>
      <c r="J15" s="6" t="s">
        <v>1218</v>
      </c>
      <c r="K15" s="6" t="s">
        <v>40</v>
      </c>
      <c r="L15" s="6" t="s">
        <v>39</v>
      </c>
      <c r="M15" s="11" t="s">
        <v>1226</v>
      </c>
      <c r="N15" s="7" t="str">
        <f t="shared" si="2"/>
        <v>{"name": "Bagohas - Wainwright", "map": "Haven", "fCoords": "3017, 4524", "waCoords": "--, --", "leaflet": "2713.962,  3078.571", "pinType": "Shopping", "mapRef": "Map Ref.: J08 (OB)", "type": "Wainwright", "description": ""},</v>
      </c>
    </row>
    <row r="16" spans="1:22" ht="30" x14ac:dyDescent="0.25">
      <c r="A16" s="7" t="s">
        <v>41</v>
      </c>
      <c r="B16" s="7" t="s">
        <v>1187</v>
      </c>
      <c r="C16" s="6">
        <v>464</v>
      </c>
      <c r="D16" s="6">
        <v>3106</v>
      </c>
      <c r="E16" s="6" t="str">
        <f>IFERROR(VLOOKUP($A16,tWA[],5,FALSE),"--")</f>
        <v>--</v>
      </c>
      <c r="F16" s="6" t="str">
        <f>IFERROR(VLOOKUP($A16,tWA[],6,FALSE),"--")</f>
        <v>--</v>
      </c>
      <c r="G16" s="18" t="s">
        <v>1720</v>
      </c>
      <c r="H16" s="18">
        <f t="shared" si="0"/>
        <v>4160.9010000000007</v>
      </c>
      <c r="I16" s="18" t="str">
        <f t="shared" si="1"/>
        <v>4160.901,  473.469</v>
      </c>
      <c r="J16" s="6" t="s">
        <v>1218</v>
      </c>
      <c r="K16" s="6" t="s">
        <v>43</v>
      </c>
      <c r="L16" s="6" t="s">
        <v>42</v>
      </c>
      <c r="M16" s="11" t="s">
        <v>1226</v>
      </c>
      <c r="N16" s="7" t="str">
        <f t="shared" si="2"/>
        <v>{"name": "Bambur - Tobacconist", "map": "Haven", "fCoords": "464, 3106", "waCoords": "--, --", "leaflet": "4160.901,  473.469", "pinType": "Shopping", "mapRef": "Map Ref.: A13 (HN)", "type": "Tobacco", "description": ""},</v>
      </c>
    </row>
    <row r="17" spans="1:14" ht="30" x14ac:dyDescent="0.25">
      <c r="A17" s="7" t="s">
        <v>44</v>
      </c>
      <c r="B17" s="7" t="s">
        <v>1187</v>
      </c>
      <c r="C17" s="6">
        <v>1344</v>
      </c>
      <c r="D17" s="6">
        <v>4755</v>
      </c>
      <c r="E17" s="6" t="str">
        <f>IFERROR(VLOOKUP($A17,tWA[],5,FALSE),"--")</f>
        <v>--</v>
      </c>
      <c r="F17" s="6" t="str">
        <f>IFERROR(VLOOKUP($A17,tWA[],6,FALSE),"--")</f>
        <v>--</v>
      </c>
      <c r="G17" s="18" t="s">
        <v>1721</v>
      </c>
      <c r="H17" s="18">
        <f t="shared" si="0"/>
        <v>2478.248</v>
      </c>
      <c r="I17" s="18" t="str">
        <f t="shared" si="1"/>
        <v>2478.248,  1371.429</v>
      </c>
      <c r="J17" s="6" t="s">
        <v>1677</v>
      </c>
      <c r="K17" s="6" t="s">
        <v>46</v>
      </c>
      <c r="L17" s="6" t="s">
        <v>45</v>
      </c>
      <c r="M17" s="11" t="s">
        <v>1226</v>
      </c>
      <c r="N17" s="7" t="str">
        <f t="shared" si="2"/>
        <v>{"name": "Baraggio's Warehouse and Yard", "map": "Haven", "fCoords": "1344, 4755", "waCoords": "--, --", "leaflet": "2478.248,  1371.429", "pinType": "Service", "mapRef": "Map Ref.: D08 (ON)", "type": "Warehouse", "description": ""},</v>
      </c>
    </row>
    <row r="18" spans="1:14" ht="30" x14ac:dyDescent="0.25">
      <c r="A18" s="7" t="s">
        <v>47</v>
      </c>
      <c r="B18" s="7" t="s">
        <v>1187</v>
      </c>
      <c r="C18" s="6">
        <v>2271</v>
      </c>
      <c r="D18" s="6">
        <v>4886</v>
      </c>
      <c r="E18" s="6" t="str">
        <f>IFERROR(VLOOKUP($A18,tWA[],5,FALSE),"--")</f>
        <v>--</v>
      </c>
      <c r="F18" s="6" t="str">
        <f>IFERROR(VLOOKUP($A18,tWA[],6,FALSE),"--")</f>
        <v>--</v>
      </c>
      <c r="G18" s="18" t="s">
        <v>1722</v>
      </c>
      <c r="H18" s="18">
        <f t="shared" si="0"/>
        <v>2344.5740000000001</v>
      </c>
      <c r="I18" s="18" t="str">
        <f t="shared" si="1"/>
        <v>2344.574,  2317.347</v>
      </c>
      <c r="J18" s="6" t="s">
        <v>1218</v>
      </c>
      <c r="K18" s="6" t="s">
        <v>49</v>
      </c>
      <c r="L18" s="6" t="s">
        <v>48</v>
      </c>
      <c r="M18" s="11" t="s">
        <v>1226</v>
      </c>
      <c r="N18" s="7" t="str">
        <f t="shared" si="2"/>
        <v>{"name": "Bell Foundry", "map": "Haven", "fCoords": "2271, 4886", "waCoords": "--, --", "leaflet": "2344.574,  2317.347", "pinType": "Shopping", "mapRef": "Map Ref.: G07 (MB)", "type": "Foundry", "description": ""},</v>
      </c>
    </row>
    <row r="19" spans="1:14" ht="30" x14ac:dyDescent="0.25">
      <c r="A19" s="7" t="s">
        <v>50</v>
      </c>
      <c r="B19" s="7" t="s">
        <v>1187</v>
      </c>
      <c r="C19" s="6">
        <v>3430</v>
      </c>
      <c r="D19" s="6">
        <v>3764</v>
      </c>
      <c r="E19" s="6" t="str">
        <f>IFERROR(VLOOKUP($A19,tWA[],5,FALSE),"--")</f>
        <v>--</v>
      </c>
      <c r="F19" s="6" t="str">
        <f>IFERROR(VLOOKUP($A19,tWA[],6,FALSE),"--")</f>
        <v>--</v>
      </c>
      <c r="G19" s="18" t="s">
        <v>1723</v>
      </c>
      <c r="H19" s="18">
        <f t="shared" si="0"/>
        <v>3489.4719999999998</v>
      </c>
      <c r="I19" s="18" t="str">
        <f t="shared" si="1"/>
        <v>3489.472,  3500.</v>
      </c>
      <c r="J19" s="6" t="s">
        <v>1218</v>
      </c>
      <c r="K19" s="6" t="s">
        <v>52</v>
      </c>
      <c r="L19" s="6" t="s">
        <v>51</v>
      </c>
      <c r="M19" s="11" t="s">
        <v>1226</v>
      </c>
      <c r="N19" s="7" t="str">
        <f t="shared" si="2"/>
        <v>{"name": "Belossan - Locksmith", "map": "Haven", "fCoords": "3430, 3764", "waCoords": "--, --", "leaflet": "3489.472,  3500.", "pinType": "Shopping", "mapRef": "Map Ref.: K11 (JO)", "type": "Locksmith", "description": ""},</v>
      </c>
    </row>
    <row r="20" spans="1:14" ht="30" x14ac:dyDescent="0.25">
      <c r="A20" s="7" t="s">
        <v>53</v>
      </c>
      <c r="B20" s="7" t="s">
        <v>1187</v>
      </c>
      <c r="C20" s="6">
        <v>2369</v>
      </c>
      <c r="D20" s="6">
        <v>5698</v>
      </c>
      <c r="E20" s="6" t="str">
        <f>IFERROR(VLOOKUP($A20,tWA[],5,FALSE),"--")</f>
        <v>--</v>
      </c>
      <c r="F20" s="6" t="str">
        <f>IFERROR(VLOOKUP($A20,tWA[],6,FALSE),"--")</f>
        <v>--</v>
      </c>
      <c r="G20" s="18" t="s">
        <v>1724</v>
      </c>
      <c r="H20" s="18">
        <f t="shared" si="0"/>
        <v>1516.0029999999999</v>
      </c>
      <c r="I20" s="18" t="str">
        <f t="shared" si="1"/>
        <v>1516.003,  2417.347</v>
      </c>
      <c r="J20" s="6" t="s">
        <v>1218</v>
      </c>
      <c r="K20" s="6" t="s">
        <v>55</v>
      </c>
      <c r="L20" s="6" t="s">
        <v>54</v>
      </c>
      <c r="M20" s="11" t="s">
        <v>1226</v>
      </c>
      <c r="N20" s="7" t="str">
        <f t="shared" si="2"/>
        <v>{"name": "Bendelhoff's Supplies", "map": "Haven", "fCoords": "2369, 5698", "waCoords": "--, --", "leaflet": "1516.003,  2417.347", "pinType": "Shopping", "mapRef": "Map Ref.: H04 (QM)", "type": "General Goods", "description": ""},</v>
      </c>
    </row>
    <row r="21" spans="1:14" ht="30" x14ac:dyDescent="0.25">
      <c r="A21" s="7" t="s">
        <v>56</v>
      </c>
      <c r="B21" s="7" t="s">
        <v>1187</v>
      </c>
      <c r="C21" s="6">
        <v>1033</v>
      </c>
      <c r="D21" s="6">
        <v>3498</v>
      </c>
      <c r="E21" s="6" t="str">
        <f>IFERROR(VLOOKUP($A21,tWA[],5,FALSE),"--")</f>
        <v>--</v>
      </c>
      <c r="F21" s="6" t="str">
        <f>IFERROR(VLOOKUP($A21,tWA[],6,FALSE),"--")</f>
        <v>--</v>
      </c>
      <c r="G21" s="18" t="s">
        <v>1725</v>
      </c>
      <c r="H21" s="18">
        <f t="shared" si="0"/>
        <v>3760.9009999999998</v>
      </c>
      <c r="I21" s="18" t="str">
        <f t="shared" si="1"/>
        <v>3760.901,  1054.082</v>
      </c>
      <c r="J21" s="6" t="s">
        <v>1218</v>
      </c>
      <c r="K21" s="6" t="s">
        <v>58</v>
      </c>
      <c r="L21" s="6" t="s">
        <v>57</v>
      </c>
      <c r="M21" s="11" t="s">
        <v>1226</v>
      </c>
      <c r="N21" s="7" t="str">
        <f t="shared" si="2"/>
        <v>{"name": "Bessie's Breadbox", "map": "Haven", "fCoords": "1033, 3498", "waCoords": "--, --", "leaflet": "3760.901,  1054.082", "pinType": "Shopping", "mapRef": "Map Ref.: C12 (LG)", "type": "Baker", "description": ""},</v>
      </c>
    </row>
    <row r="22" spans="1:14" ht="30" x14ac:dyDescent="0.25">
      <c r="A22" s="7" t="s">
        <v>59</v>
      </c>
      <c r="B22" s="7" t="s">
        <v>1187</v>
      </c>
      <c r="C22" s="6">
        <v>507</v>
      </c>
      <c r="D22" s="6">
        <v>2507</v>
      </c>
      <c r="E22" s="6" t="str">
        <f>IFERROR(VLOOKUP($A22,tWA[],5,FALSE),"--")</f>
        <v>--</v>
      </c>
      <c r="F22" s="6" t="str">
        <f>IFERROR(VLOOKUP($A22,tWA[],6,FALSE),"--")</f>
        <v>--</v>
      </c>
      <c r="G22" s="18" t="s">
        <v>1726</v>
      </c>
      <c r="H22" s="18">
        <f t="shared" si="0"/>
        <v>4772.1260000000002</v>
      </c>
      <c r="I22" s="18" t="str">
        <f t="shared" si="1"/>
        <v>4772.126,  517.347</v>
      </c>
      <c r="J22" s="6" t="s">
        <v>1218</v>
      </c>
      <c r="K22" s="6" t="s">
        <v>60</v>
      </c>
      <c r="L22" s="6" t="s">
        <v>48</v>
      </c>
      <c r="M22" s="11" t="s">
        <v>1226</v>
      </c>
      <c r="N22" s="7" t="str">
        <f t="shared" si="2"/>
        <v>{"name": "Bethli's Iron Works", "map": "Haven", "fCoords": "507, 2507", "waCoords": "--, --", "leaflet": "4772.126,  517.347", "pinType": "Shopping", "mapRef": "Map Ref.: A15 (II)", "type": "Foundry", "description": ""},</v>
      </c>
    </row>
    <row r="23" spans="1:14" ht="30" x14ac:dyDescent="0.25">
      <c r="A23" s="7" t="s">
        <v>61</v>
      </c>
      <c r="B23" s="7" t="s">
        <v>1187</v>
      </c>
      <c r="C23" s="6">
        <v>4396</v>
      </c>
      <c r="D23" s="6">
        <v>4761</v>
      </c>
      <c r="E23" s="6" t="str">
        <f>IFERROR(VLOOKUP($A23,tWA[],5,FALSE),"--")</f>
        <v>--</v>
      </c>
      <c r="F23" s="6" t="str">
        <f>IFERROR(VLOOKUP($A23,tWA[],6,FALSE),"--")</f>
        <v>--</v>
      </c>
      <c r="G23" s="18" t="s">
        <v>1727</v>
      </c>
      <c r="H23" s="18">
        <f t="shared" si="0"/>
        <v>2472.1259999999997</v>
      </c>
      <c r="I23" s="18" t="str">
        <f t="shared" si="1"/>
        <v>2472.126,  4485.714</v>
      </c>
      <c r="J23" s="6" t="s">
        <v>1218</v>
      </c>
      <c r="K23" s="6" t="s">
        <v>63</v>
      </c>
      <c r="L23" s="6" t="s">
        <v>62</v>
      </c>
      <c r="M23" s="11" t="s">
        <v>1226</v>
      </c>
      <c r="N23" s="7" t="str">
        <f t="shared" si="2"/>
        <v>{"name": "Bettina's", "map": "Haven", "fCoords": "4396, 4761", "waCoords": "--, --", "leaflet": "2472.126,  4485.714", "pinType": "Shopping", "mapRef": "Map Ref.: O08 (DN)", "type": "General Clothing", "description": ""},</v>
      </c>
    </row>
    <row r="24" spans="1:14" ht="30" x14ac:dyDescent="0.25">
      <c r="A24" s="7" t="s">
        <v>64</v>
      </c>
      <c r="B24" s="7" t="s">
        <v>1187</v>
      </c>
      <c r="C24" s="6">
        <v>6118</v>
      </c>
      <c r="D24" s="6">
        <v>5592</v>
      </c>
      <c r="E24" s="6" t="str">
        <f>IFERROR(VLOOKUP($A24,tWA[],5,FALSE),"--")</f>
        <v>--</v>
      </c>
      <c r="F24" s="6" t="str">
        <f>IFERROR(VLOOKUP($A24,tWA[],6,FALSE),"--")</f>
        <v>--</v>
      </c>
      <c r="G24" s="18" t="s">
        <v>1728</v>
      </c>
      <c r="H24" s="18">
        <f t="shared" si="0"/>
        <v>1624.1659999999999</v>
      </c>
      <c r="I24" s="18" t="str">
        <f t="shared" si="1"/>
        <v>1624.166,  6242.857</v>
      </c>
      <c r="J24" s="6" t="s">
        <v>1218</v>
      </c>
      <c r="K24" s="6" t="s">
        <v>66</v>
      </c>
      <c r="L24" s="6" t="s">
        <v>65</v>
      </c>
      <c r="M24" s="11" t="s">
        <v>1226</v>
      </c>
      <c r="N24" s="7" t="str">
        <f t="shared" si="2"/>
        <v>{"name": "Bidurum - Chartmaker", "map": "Haven", "fCoords": "6118, 5592", "waCoords": "--, --", "leaflet": "1624.166,  6242.857", "pinType": "Shopping", "mapRef": "Map Ref.: U05 (AI)", "type": "Nautical Supplies", "description": ""},</v>
      </c>
    </row>
    <row r="25" spans="1:14" ht="30" x14ac:dyDescent="0.25">
      <c r="A25" s="7" t="s">
        <v>67</v>
      </c>
      <c r="B25" s="7" t="s">
        <v>1187</v>
      </c>
      <c r="C25" s="6">
        <v>6176</v>
      </c>
      <c r="D25" s="6">
        <v>5137</v>
      </c>
      <c r="E25" s="6" t="str">
        <f>IFERROR(VLOOKUP($A25,tWA[],5,FALSE),"--")</f>
        <v>--</v>
      </c>
      <c r="F25" s="6" t="str">
        <f>IFERROR(VLOOKUP($A25,tWA[],6,FALSE),"--")</f>
        <v>--</v>
      </c>
      <c r="G25" s="18" t="s">
        <v>1729</v>
      </c>
      <c r="H25" s="18">
        <f t="shared" si="0"/>
        <v>2088.4519999999998</v>
      </c>
      <c r="I25" s="18" t="str">
        <f t="shared" si="1"/>
        <v>2088.452,  6302.041</v>
      </c>
      <c r="J25" s="6" t="s">
        <v>1204</v>
      </c>
      <c r="K25" s="6" t="s">
        <v>69</v>
      </c>
      <c r="L25" s="6" t="s">
        <v>68</v>
      </c>
      <c r="M25" s="11" t="s">
        <v>1226</v>
      </c>
      <c r="N25" s="7" t="str">
        <f t="shared" si="2"/>
        <v>{"name": "Black Padre's", "map": "Haven", "fCoords": "6176, 5137", "waCoords": "--, --", "leaflet": "2088.452,  6302.041", "pinType": "Inns &amp; Taverns", "mapRef": "Map Ref.: U06 (AY)", "type": "Tavern", "description": ""},</v>
      </c>
    </row>
    <row r="26" spans="1:14" ht="30" x14ac:dyDescent="0.25">
      <c r="A26" s="7" t="s">
        <v>1141</v>
      </c>
      <c r="B26" s="7" t="s">
        <v>1187</v>
      </c>
      <c r="C26" s="6">
        <v>2239</v>
      </c>
      <c r="D26" s="6">
        <v>1670</v>
      </c>
      <c r="E26" s="6" t="str">
        <f>IFERROR(VLOOKUP($A26,tWA[],5,FALSE),"--")</f>
        <v>--</v>
      </c>
      <c r="F26" s="6" t="str">
        <f>IFERROR(VLOOKUP($A26,tWA[],6,FALSE),"--")</f>
        <v>--</v>
      </c>
      <c r="G26" s="18" t="s">
        <v>1730</v>
      </c>
      <c r="H26" s="18">
        <f t="shared" si="0"/>
        <v>5626.2070000000003</v>
      </c>
      <c r="I26" s="18" t="str">
        <f t="shared" si="1"/>
        <v>5626.207,  2284.694</v>
      </c>
      <c r="J26" s="6" t="s">
        <v>70</v>
      </c>
      <c r="K26" s="6" t="s">
        <v>72</v>
      </c>
      <c r="L26" s="6" t="s">
        <v>71</v>
      </c>
      <c r="M26" s="11" t="s">
        <v>1226</v>
      </c>
      <c r="N26" s="7" t="str">
        <f t="shared" si="2"/>
        <v>{"name": "Blackbourne Family Residence", "map": "Haven", "fCoords": "2239, 1670", "waCoords": "--, --", "leaflet": "5626.207,  2284.694", "pinType": "Residence", "mapRef": "Map Ref.: G18 (CY)", "type": "Mansion", "description": ""},</v>
      </c>
    </row>
    <row r="27" spans="1:14" ht="30" x14ac:dyDescent="0.25">
      <c r="A27" s="7" t="s">
        <v>73</v>
      </c>
      <c r="B27" s="7" t="s">
        <v>1187</v>
      </c>
      <c r="C27" s="6">
        <v>6169</v>
      </c>
      <c r="D27" s="6">
        <v>5052</v>
      </c>
      <c r="E27" s="6" t="str">
        <f>IFERROR(VLOOKUP($A27,tWA[],5,FALSE),"--")</f>
        <v>--</v>
      </c>
      <c r="F27" s="6" t="str">
        <f>IFERROR(VLOOKUP($A27,tWA[],6,FALSE),"--")</f>
        <v>--</v>
      </c>
      <c r="G27" s="18" t="s">
        <v>1731</v>
      </c>
      <c r="H27" s="18">
        <f t="shared" si="0"/>
        <v>2175.1869999999999</v>
      </c>
      <c r="I27" s="18" t="str">
        <f t="shared" si="1"/>
        <v>2175.187,  6294.898</v>
      </c>
      <c r="J27" s="6" t="s">
        <v>1677</v>
      </c>
      <c r="K27" s="6" t="s">
        <v>74</v>
      </c>
      <c r="L27" s="6" t="s">
        <v>45</v>
      </c>
      <c r="M27" s="11" t="s">
        <v>1226</v>
      </c>
      <c r="N27" s="7" t="str">
        <f t="shared" si="2"/>
        <v>{"name": "Blackbourne Warehouse", "map": "Haven", "fCoords": "6169, 5052", "waCoords": "--, --", "leaflet": "2175.187,  6294.898", "pinType": "Service", "mapRef": "Map Ref.: U07 (BE)", "type": "Warehouse", "description": ""},</v>
      </c>
    </row>
    <row r="28" spans="1:14" ht="30" x14ac:dyDescent="0.25">
      <c r="A28" s="7" t="s">
        <v>75</v>
      </c>
      <c r="B28" s="7" t="s">
        <v>1187</v>
      </c>
      <c r="C28" s="6">
        <v>415</v>
      </c>
      <c r="D28" s="6">
        <v>3600</v>
      </c>
      <c r="E28" s="6" t="str">
        <f>IFERROR(VLOOKUP($A28,tWA[],5,FALSE),"--")</f>
        <v>--</v>
      </c>
      <c r="F28" s="6" t="str">
        <f>IFERROR(VLOOKUP($A28,tWA[],6,FALSE),"--")</f>
        <v>--</v>
      </c>
      <c r="G28" s="18" t="s">
        <v>1732</v>
      </c>
      <c r="H28" s="18">
        <f t="shared" si="0"/>
        <v>3656.819</v>
      </c>
      <c r="I28" s="18" t="str">
        <f t="shared" si="1"/>
        <v>3656.819,  423.469</v>
      </c>
      <c r="J28" s="6" t="s">
        <v>1204</v>
      </c>
      <c r="K28" s="6" t="s">
        <v>76</v>
      </c>
      <c r="L28" s="6" t="s">
        <v>68</v>
      </c>
      <c r="M28" s="11" t="s">
        <v>1226</v>
      </c>
      <c r="N28" s="7" t="str">
        <f t="shared" si="2"/>
        <v>{"name": "Boarshead Tavern", "map": "Haven", "fCoords": "415, 3600", "waCoords": "--, --", "leaflet": "3656.819,  423.469", "pinType": "Inns &amp; Taverns", "mapRef": "Map Ref.: A11 (KI)", "type": "Tavern", "description": ""},</v>
      </c>
    </row>
    <row r="29" spans="1:14" ht="30" x14ac:dyDescent="0.25">
      <c r="A29" s="7" t="s">
        <v>77</v>
      </c>
      <c r="B29" s="7" t="s">
        <v>1187</v>
      </c>
      <c r="C29" s="6">
        <v>896</v>
      </c>
      <c r="D29" s="6">
        <v>4940</v>
      </c>
      <c r="E29" s="6" t="str">
        <f>IFERROR(VLOOKUP($A29,tWA[],5,FALSE),"--")</f>
        <v>--</v>
      </c>
      <c r="F29" s="6" t="str">
        <f>IFERROR(VLOOKUP($A29,tWA[],6,FALSE),"--")</f>
        <v>--</v>
      </c>
      <c r="G29" s="18" t="s">
        <v>1733</v>
      </c>
      <c r="H29" s="18">
        <f t="shared" si="0"/>
        <v>2289.4719999999998</v>
      </c>
      <c r="I29" s="18" t="str">
        <f t="shared" si="1"/>
        <v>2289.472,  914.286</v>
      </c>
      <c r="J29" s="6" t="s">
        <v>1218</v>
      </c>
      <c r="K29" s="6" t="s">
        <v>79</v>
      </c>
      <c r="L29" s="6" t="s">
        <v>78</v>
      </c>
      <c r="M29" s="11" t="s">
        <v>1226</v>
      </c>
      <c r="N29" s="7" t="str">
        <f t="shared" si="2"/>
        <v>{"name": "Bolihank's Feed and Grain", "map": "Haven", "fCoords": "896, 4940", "waCoords": "--, --", "leaflet": "2289.472,  914.286", "pinType": "Shopping", "mapRef": "Map Ref.: C07 (QA)", "type": "Livestock", "description": ""},</v>
      </c>
    </row>
    <row r="30" spans="1:14" ht="30" x14ac:dyDescent="0.25">
      <c r="A30" s="7" t="s">
        <v>80</v>
      </c>
      <c r="B30" s="7" t="s">
        <v>1187</v>
      </c>
      <c r="C30" s="6">
        <v>3280</v>
      </c>
      <c r="D30" s="6">
        <v>4539</v>
      </c>
      <c r="E30" s="6" t="str">
        <f>IFERROR(VLOOKUP($A30,tWA[],5,FALSE),"--")</f>
        <v>--</v>
      </c>
      <c r="F30" s="6" t="str">
        <f>IFERROR(VLOOKUP($A30,tWA[],6,FALSE),"--")</f>
        <v>--</v>
      </c>
      <c r="G30" s="18" t="s">
        <v>1734</v>
      </c>
      <c r="H30" s="18">
        <f t="shared" si="0"/>
        <v>2698.6559999999999</v>
      </c>
      <c r="I30" s="18" t="str">
        <f t="shared" si="1"/>
        <v>2698.656,  3346.939</v>
      </c>
      <c r="J30" s="6" t="s">
        <v>1677</v>
      </c>
      <c r="K30" s="6" t="s">
        <v>82</v>
      </c>
      <c r="L30" s="6" t="s">
        <v>81</v>
      </c>
      <c r="M30" s="11" t="s">
        <v>1226</v>
      </c>
      <c r="N30" s="7" t="str">
        <f t="shared" si="2"/>
        <v>{"name": "Bonanza Transport", "map": "Haven", "fCoords": "3280, 4539", "waCoords": "--, --", "leaflet": "2698.656,  3346.939", "pinType": "Service", "mapRef": "Map Ref.: K08 (RB)", "type": "Courier", "description": ""},</v>
      </c>
    </row>
    <row r="31" spans="1:14" ht="30" x14ac:dyDescent="0.25">
      <c r="A31" s="7" t="s">
        <v>83</v>
      </c>
      <c r="B31" s="7" t="s">
        <v>1187</v>
      </c>
      <c r="C31" s="6">
        <v>613</v>
      </c>
      <c r="D31" s="6">
        <v>3204</v>
      </c>
      <c r="E31" s="6" t="str">
        <f>IFERROR(VLOOKUP($A31,tWA[],5,FALSE),"--")</f>
        <v>--</v>
      </c>
      <c r="F31" s="6" t="str">
        <f>IFERROR(VLOOKUP($A31,tWA[],6,FALSE),"--")</f>
        <v>--</v>
      </c>
      <c r="G31" s="18" t="s">
        <v>1735</v>
      </c>
      <c r="H31" s="18">
        <f t="shared" si="0"/>
        <v>4060.9009999999998</v>
      </c>
      <c r="I31" s="18" t="str">
        <f t="shared" si="1"/>
        <v>4060.901,  625.51</v>
      </c>
      <c r="J31" s="6" t="s">
        <v>1218</v>
      </c>
      <c r="K31" s="6" t="s">
        <v>85</v>
      </c>
      <c r="L31" s="6" t="s">
        <v>84</v>
      </c>
      <c r="M31" s="11" t="s">
        <v>1226</v>
      </c>
      <c r="N31" s="7" t="str">
        <f t="shared" si="2"/>
        <v>{"name": "Borin - Clockmaker", "map": "Haven", "fCoords": "613, 3204", "waCoords": "--, --", "leaflet": "4060.901,  625.51", "pinType": "Shopping", "mapRef": "Map Ref.: B13 (KB)", "type": "Timepieces", "description": ""},</v>
      </c>
    </row>
    <row r="32" spans="1:14" ht="45" x14ac:dyDescent="0.25">
      <c r="A32" s="7" t="s">
        <v>86</v>
      </c>
      <c r="B32" s="7" t="s">
        <v>1187</v>
      </c>
      <c r="C32" s="6">
        <v>2349</v>
      </c>
      <c r="D32" s="6">
        <v>1115</v>
      </c>
      <c r="E32" s="6" t="str">
        <f>IFERROR(VLOOKUP($A32,tWA[],5,FALSE),"--")</f>
        <v>2315</v>
      </c>
      <c r="F32" s="6" t="str">
        <f>IFERROR(VLOOKUP($A32,tWA[],6,FALSE),"--")</f>
        <v>6113</v>
      </c>
      <c r="G32" s="18" t="s">
        <v>1736</v>
      </c>
      <c r="H32" s="18">
        <f t="shared" si="0"/>
        <v>6192.5340000000006</v>
      </c>
      <c r="I32" s="18" t="str">
        <f t="shared" si="1"/>
        <v>6192.534,  2396.939</v>
      </c>
      <c r="J32" s="6" t="s">
        <v>1678</v>
      </c>
      <c r="K32" s="6" t="s">
        <v>88</v>
      </c>
      <c r="L32" s="6" t="s">
        <v>87</v>
      </c>
      <c r="M32" s="11" t="s">
        <v>1365</v>
      </c>
      <c r="N32" s="7" t="str">
        <f t="shared" si="2"/>
        <v>{"name": "Boutique Lane", "map": "Haven", "fCoords": "2349, 1115", "waCoords": "2315, 6113", "leaflet": "6192.534,  2396.939", "pinType": "Landmark", "mapRef": "Map Ref.: H20 (SH)", "type": "Street", "description": "The main, and only, shopping area in the Heights. Several high-end shops can be found here"},</v>
      </c>
    </row>
    <row r="33" spans="1:14" ht="30" x14ac:dyDescent="0.25">
      <c r="A33" s="7" t="s">
        <v>89</v>
      </c>
      <c r="B33" s="7" t="s">
        <v>1187</v>
      </c>
      <c r="C33" s="6">
        <v>1371</v>
      </c>
      <c r="D33" s="6">
        <v>4609</v>
      </c>
      <c r="E33" s="6" t="str">
        <f>IFERROR(VLOOKUP($A33,tWA[],5,FALSE),"--")</f>
        <v>--</v>
      </c>
      <c r="F33" s="6" t="str">
        <f>IFERROR(VLOOKUP($A33,tWA[],6,FALSE),"--")</f>
        <v>--</v>
      </c>
      <c r="G33" s="18" t="s">
        <v>1737</v>
      </c>
      <c r="H33" s="18">
        <f t="shared" si="0"/>
        <v>2627.2280000000001</v>
      </c>
      <c r="I33" s="18" t="str">
        <f t="shared" si="1"/>
        <v>2627.228,  1398.98</v>
      </c>
      <c r="J33" s="6" t="s">
        <v>1677</v>
      </c>
      <c r="K33" s="6" t="s">
        <v>90</v>
      </c>
      <c r="L33" s="6" t="s">
        <v>81</v>
      </c>
      <c r="M33" s="11" t="s">
        <v>1226</v>
      </c>
      <c r="N33" s="7" t="str">
        <f t="shared" si="2"/>
        <v>{"name": "Brannigan's Express", "map": "Haven", "fCoords": "1371, 4609", "waCoords": "--, --", "leaflet": "2627.228,  1398.98", "pinType": "Service", "mapRef": "Map Ref.: D08 (QC)", "type": "Courier", "description": ""},</v>
      </c>
    </row>
    <row r="34" spans="1:14" ht="30" x14ac:dyDescent="0.25">
      <c r="A34" s="7" t="s">
        <v>91</v>
      </c>
      <c r="B34" s="7" t="s">
        <v>1187</v>
      </c>
      <c r="C34" s="6">
        <v>6814</v>
      </c>
      <c r="D34" s="6">
        <v>4875</v>
      </c>
      <c r="E34" s="6" t="str">
        <f>IFERROR(VLOOKUP($A34,tWA[],5,FALSE),"--")</f>
        <v>--</v>
      </c>
      <c r="F34" s="6" t="str">
        <f>IFERROR(VLOOKUP($A34,tWA[],6,FALSE),"--")</f>
        <v>--</v>
      </c>
      <c r="G34" s="18" t="s">
        <v>1738</v>
      </c>
      <c r="H34" s="18">
        <f t="shared" si="0"/>
        <v>2355.799</v>
      </c>
      <c r="I34" s="18" t="str">
        <f t="shared" si="1"/>
        <v>2355.799,  6953.061</v>
      </c>
      <c r="J34" s="6" t="s">
        <v>1218</v>
      </c>
      <c r="K34" s="6" t="s">
        <v>93</v>
      </c>
      <c r="L34" s="6" t="s">
        <v>92</v>
      </c>
      <c r="M34" s="11" t="s">
        <v>1226</v>
      </c>
      <c r="N34" s="7" t="str">
        <f t="shared" si="2"/>
        <v>{"name": "Brisket Butcher Shop", "map": "Haven", "fCoords": "6814, 4875", "waCoords": "--, --", "leaflet": "2355.799,  6953.061", "pinType": "Shopping", "mapRef": "Map Ref.: W07 (CB)", "type": "Butcher", "description": ""},</v>
      </c>
    </row>
    <row r="35" spans="1:14" ht="30" x14ac:dyDescent="0.25">
      <c r="A35" s="7" t="s">
        <v>94</v>
      </c>
      <c r="B35" s="7" t="s">
        <v>1187</v>
      </c>
      <c r="C35" s="6">
        <v>3047</v>
      </c>
      <c r="D35" s="6">
        <v>5528</v>
      </c>
      <c r="E35" s="6" t="str">
        <f>IFERROR(VLOOKUP($A35,tWA[],5,FALSE),"--")</f>
        <v>1022</v>
      </c>
      <c r="F35" s="6" t="str">
        <f>IFERROR(VLOOKUP($A35,tWA[],6,FALSE),"--")</f>
        <v>1037</v>
      </c>
      <c r="G35" s="18" t="s">
        <v>1739</v>
      </c>
      <c r="H35" s="18">
        <f t="shared" si="0"/>
        <v>1689.472</v>
      </c>
      <c r="I35" s="18" t="str">
        <f t="shared" si="1"/>
        <v>1689.472,  3109.184</v>
      </c>
      <c r="J35" s="6" t="s">
        <v>1218</v>
      </c>
      <c r="K35" s="6" t="s">
        <v>96</v>
      </c>
      <c r="L35" s="6" t="s">
        <v>95</v>
      </c>
      <c r="N35" s="7" t="str">
        <f t="shared" si="2"/>
        <v>{"name": "Brodsky's", "map": "Haven", "fCoords": "3047, 5528", "waCoords": "1022, 1037", "leaflet": "1689.472,  3109.184", "pinType": "Shopping", "mapRef": "Map Ref.: J05 (QV)", "type": "Dairy", "description": ""},</v>
      </c>
    </row>
    <row r="36" spans="1:14" ht="30" x14ac:dyDescent="0.25">
      <c r="A36" s="7" t="s">
        <v>97</v>
      </c>
      <c r="B36" s="7" t="s">
        <v>1187</v>
      </c>
      <c r="C36" s="6">
        <v>1534</v>
      </c>
      <c r="D36" s="6">
        <v>3080</v>
      </c>
      <c r="E36" s="6" t="str">
        <f>IFERROR(VLOOKUP($A36,tWA[],5,FALSE),"--")</f>
        <v>--</v>
      </c>
      <c r="F36" s="6" t="str">
        <f>IFERROR(VLOOKUP($A36,tWA[],6,FALSE),"--")</f>
        <v>--</v>
      </c>
      <c r="G36" s="18" t="s">
        <v>1740</v>
      </c>
      <c r="H36" s="18">
        <f t="shared" si="0"/>
        <v>4187.4320000000007</v>
      </c>
      <c r="I36" s="18" t="str">
        <f t="shared" si="1"/>
        <v>4187.432,  1565.306</v>
      </c>
      <c r="J36" s="6" t="s">
        <v>1218</v>
      </c>
      <c r="K36" s="6" t="s">
        <v>98</v>
      </c>
      <c r="L36" s="6" t="s">
        <v>54</v>
      </c>
      <c r="M36" s="11" t="s">
        <v>1226</v>
      </c>
      <c r="N36" s="7" t="str">
        <f t="shared" si="2"/>
        <v>{"name": "Bucklander's Import Emporium", "map": "Haven", "fCoords": "1534, 3080", "waCoords": "--, --", "leaflet": "4187.432,  1565.306", "pinType": "Shopping", "mapRef": "Map Ref.: E13 (IP)", "type": "General Goods", "description": ""},</v>
      </c>
    </row>
    <row r="37" spans="1:14" ht="30" x14ac:dyDescent="0.25">
      <c r="A37" s="7" t="s">
        <v>99</v>
      </c>
      <c r="B37" s="7" t="s">
        <v>1187</v>
      </c>
      <c r="C37" s="6">
        <v>3778</v>
      </c>
      <c r="D37" s="6">
        <v>4374</v>
      </c>
      <c r="E37" s="6" t="str">
        <f>IFERROR(VLOOKUP($A37,tWA[],5,FALSE),"--")</f>
        <v>--</v>
      </c>
      <c r="F37" s="6" t="str">
        <f>IFERROR(VLOOKUP($A37,tWA[],6,FALSE),"--")</f>
        <v>--</v>
      </c>
      <c r="G37" s="18" t="s">
        <v>1741</v>
      </c>
      <c r="H37" s="18">
        <f t="shared" si="0"/>
        <v>2867.0229999999997</v>
      </c>
      <c r="I37" s="18" t="str">
        <f t="shared" si="1"/>
        <v>2867.023,  3855.102</v>
      </c>
      <c r="J37" s="6" t="s">
        <v>1204</v>
      </c>
      <c r="K37" s="6" t="s">
        <v>100</v>
      </c>
      <c r="L37" s="6" t="s">
        <v>68</v>
      </c>
      <c r="M37" s="11" t="s">
        <v>1226</v>
      </c>
      <c r="N37" s="7" t="str">
        <f t="shared" si="2"/>
        <v>{"name": "Bull of Anathor", "map": "Haven", "fCoords": "3778, 4374", "waCoords": "--, --", "leaflet": "2867.023,  3855.102", "pinType": "Inns &amp; Taverns", "mapRef": "Map Ref.: M09 (SK)", "type": "Tavern", "description": ""},</v>
      </c>
    </row>
    <row r="38" spans="1:14" ht="30" x14ac:dyDescent="0.25">
      <c r="A38" s="7" t="s">
        <v>1142</v>
      </c>
      <c r="B38" s="7" t="s">
        <v>1187</v>
      </c>
      <c r="C38" s="6" t="s">
        <v>1646</v>
      </c>
      <c r="D38" s="6">
        <v>965</v>
      </c>
      <c r="E38" s="6" t="str">
        <f>IFERROR(VLOOKUP($A38,tWA[],5,FALSE),"--")</f>
        <v>476</v>
      </c>
      <c r="F38" s="6" t="str">
        <f>IFERROR(VLOOKUP($A38,tWA[],6,FALSE),"--")</f>
        <v>843</v>
      </c>
      <c r="G38" s="18" t="s">
        <v>1742</v>
      </c>
      <c r="H38" s="18">
        <f t="shared" si="0"/>
        <v>6345.5950000000003</v>
      </c>
      <c r="I38" s="18" t="str">
        <f t="shared" si="1"/>
        <v>6345.595,  485.714</v>
      </c>
      <c r="J38" s="6" t="s">
        <v>1677</v>
      </c>
      <c r="K38" s="6" t="s">
        <v>1692</v>
      </c>
      <c r="L38" s="6" t="s">
        <v>475</v>
      </c>
      <c r="N38" s="7" t="str">
        <f t="shared" si="2"/>
        <v>{"name": "Burbas 'the Finder' - Locating Service", "map": "Haven", "fCoords": "476, 965", "waCoords": "476, 843", "leaflet": "6345.595,  485.714", "pinType": "Service", "mapRef": "near fountain", "type": "Other Services", "description": ""},</v>
      </c>
    </row>
    <row r="39" spans="1:14" ht="30" x14ac:dyDescent="0.25">
      <c r="A39" s="7" t="s">
        <v>101</v>
      </c>
      <c r="B39" s="7" t="s">
        <v>1187</v>
      </c>
      <c r="C39" s="6">
        <v>1715</v>
      </c>
      <c r="D39" s="6">
        <v>2960</v>
      </c>
      <c r="E39" s="6" t="str">
        <f>IFERROR(VLOOKUP($A39,tWA[],5,FALSE),"--")</f>
        <v>--</v>
      </c>
      <c r="F39" s="6" t="str">
        <f>IFERROR(VLOOKUP($A39,tWA[],6,FALSE),"--")</f>
        <v>--</v>
      </c>
      <c r="G39" s="18" t="s">
        <v>1743</v>
      </c>
      <c r="H39" s="18">
        <f t="shared" si="0"/>
        <v>4309.8810000000003</v>
      </c>
      <c r="I39" s="18" t="str">
        <f t="shared" si="1"/>
        <v>4309.881,  1750.</v>
      </c>
      <c r="J39" s="6" t="s">
        <v>1218</v>
      </c>
      <c r="K39" s="6" t="s">
        <v>103</v>
      </c>
      <c r="L39" s="6" t="s">
        <v>102</v>
      </c>
      <c r="M39" s="11" t="s">
        <v>1226</v>
      </c>
      <c r="N39" s="7" t="str">
        <f t="shared" si="2"/>
        <v>{"name": "Burdee's Mill", "map": "Haven", "fCoords": "1715, 2960", "waCoords": "--, --", "leaflet": "4309.881,  1750.", "pinType": "Shopping", "mapRef": "Map Ref.: E14 (KG)", "type": "Mill", "description": ""},</v>
      </c>
    </row>
    <row r="40" spans="1:14" ht="30" x14ac:dyDescent="0.25">
      <c r="A40" s="7" t="s">
        <v>104</v>
      </c>
      <c r="B40" s="7" t="s">
        <v>1187</v>
      </c>
      <c r="C40" s="6">
        <v>3858</v>
      </c>
      <c r="D40" s="6">
        <v>4941</v>
      </c>
      <c r="E40" s="6" t="str">
        <f>IFERROR(VLOOKUP($A40,tWA[],5,FALSE),"--")</f>
        <v>--</v>
      </c>
      <c r="F40" s="6" t="str">
        <f>IFERROR(VLOOKUP($A40,tWA[],6,FALSE),"--")</f>
        <v>--</v>
      </c>
      <c r="G40" s="18" t="s">
        <v>1744</v>
      </c>
      <c r="H40" s="18">
        <f t="shared" si="0"/>
        <v>2288.4519999999998</v>
      </c>
      <c r="I40" s="18" t="str">
        <f t="shared" si="1"/>
        <v>2288.452,  3936.735</v>
      </c>
      <c r="J40" s="6" t="s">
        <v>1218</v>
      </c>
      <c r="K40" s="6" t="s">
        <v>106</v>
      </c>
      <c r="L40" s="6" t="s">
        <v>105</v>
      </c>
      <c r="M40" s="11" t="s">
        <v>1226</v>
      </c>
      <c r="N40" s="7" t="str">
        <f t="shared" si="2"/>
        <v>{"name": "Burgallo's Apothecary", "map": "Haven", "fCoords": "3858, 4941", "waCoords": "--, --", "leaflet": "2288.452,  3936.735", "pinType": "Shopping", "mapRef": "Map Ref.: M07 (DL)", "type": "Apothecary", "description": ""},</v>
      </c>
    </row>
    <row r="41" spans="1:14" ht="30" x14ac:dyDescent="0.25">
      <c r="A41" s="7" t="s">
        <v>107</v>
      </c>
      <c r="B41" s="7" t="s">
        <v>1187</v>
      </c>
      <c r="C41" s="6">
        <v>740</v>
      </c>
      <c r="D41" s="6">
        <v>3625</v>
      </c>
      <c r="E41" s="6" t="str">
        <f>IFERROR(VLOOKUP($A41,tWA[],5,FALSE),"--")</f>
        <v>--</v>
      </c>
      <c r="F41" s="6" t="str">
        <f>IFERROR(VLOOKUP($A41,tWA[],6,FALSE),"--")</f>
        <v>--</v>
      </c>
      <c r="G41" s="18" t="s">
        <v>1745</v>
      </c>
      <c r="H41" s="18">
        <f t="shared" si="0"/>
        <v>3631.3089999999997</v>
      </c>
      <c r="I41" s="18" t="str">
        <f t="shared" si="1"/>
        <v>3631.309,  755.102</v>
      </c>
      <c r="J41" s="6" t="s">
        <v>1677</v>
      </c>
      <c r="K41" s="6" t="s">
        <v>109</v>
      </c>
      <c r="L41" s="6" t="s">
        <v>108</v>
      </c>
      <c r="M41" s="11" t="s">
        <v>1226</v>
      </c>
      <c r="N41" s="7" t="str">
        <f t="shared" si="2"/>
        <v>{"name": "Buteo Condor - Hawk Trainer", "map": "Haven", "fCoords": "740, 3625", "waCoords": "--, --", "leaflet": "3631.309,  755.102", "pinType": "Service", "mapRef": "Map Ref.: B11 (KU)", "type": "Animal Trainer", "description": ""},</v>
      </c>
    </row>
    <row r="42" spans="1:14" ht="45" x14ac:dyDescent="0.25">
      <c r="A42" s="7" t="s">
        <v>110</v>
      </c>
      <c r="B42" s="7" t="s">
        <v>1187</v>
      </c>
      <c r="C42" s="6">
        <v>1263</v>
      </c>
      <c r="D42" s="6">
        <v>4518</v>
      </c>
      <c r="E42" s="6" t="str">
        <f>IFERROR(VLOOKUP($A42,tWA[],5,FALSE),"--")</f>
        <v>1251</v>
      </c>
      <c r="F42" s="6" t="str">
        <f>IFERROR(VLOOKUP($A42,tWA[],6,FALSE),"--")</f>
        <v>2666</v>
      </c>
      <c r="G42" s="18" t="s">
        <v>1746</v>
      </c>
      <c r="H42" s="18">
        <f t="shared" si="0"/>
        <v>2720.085</v>
      </c>
      <c r="I42" s="18" t="str">
        <f t="shared" si="1"/>
        <v>2720.085,  1288.776</v>
      </c>
      <c r="J42" s="6" t="s">
        <v>1677</v>
      </c>
      <c r="K42" s="6" t="s">
        <v>112</v>
      </c>
      <c r="L42" s="6" t="s">
        <v>111</v>
      </c>
      <c r="M42" s="11" t="s">
        <v>1366</v>
      </c>
      <c r="N42" s="7" t="str">
        <f t="shared" si="2"/>
        <v>{"name": "Cab and Trolley Barns", "map": "Haven", "fCoords": "1263, 4518", "waCoords": "1251, 2666", "leaflet": "2720.085,  1288.776", "pinType": "Service", "mapRef": "Map Ref.: D08 (PI)", "type": "Taxi/Bus", "description": "Home of the centaur trolley system"},</v>
      </c>
    </row>
    <row r="43" spans="1:14" ht="30" x14ac:dyDescent="0.25">
      <c r="A43" s="7" t="s">
        <v>113</v>
      </c>
      <c r="B43" s="7" t="s">
        <v>1187</v>
      </c>
      <c r="C43" s="6">
        <v>3763</v>
      </c>
      <c r="D43" s="6">
        <v>6104</v>
      </c>
      <c r="E43" s="6" t="str">
        <f>IFERROR(VLOOKUP($A43,tWA[],5,FALSE),"--")</f>
        <v>--</v>
      </c>
      <c r="F43" s="6" t="str">
        <f>IFERROR(VLOOKUP($A43,tWA[],6,FALSE),"--")</f>
        <v>--</v>
      </c>
      <c r="G43" s="18" t="s">
        <v>1747</v>
      </c>
      <c r="H43" s="18">
        <f t="shared" si="0"/>
        <v>1101.7169999999999</v>
      </c>
      <c r="I43" s="18" t="str">
        <f t="shared" si="1"/>
        <v>1101.717,  3839.796</v>
      </c>
      <c r="J43" s="6" t="s">
        <v>1218</v>
      </c>
      <c r="K43" s="6" t="s">
        <v>115</v>
      </c>
      <c r="L43" s="6" t="s">
        <v>114</v>
      </c>
      <c r="M43" s="11" t="s">
        <v>1226</v>
      </c>
      <c r="N43" s="7" t="str">
        <f t="shared" si="2"/>
        <v>{"name": "Cacodyl - Potioner", "map": "Haven", "fCoords": "3763, 6104", "waCoords": "--, --", "leaflet": "1101.717,  3839.796", "pinType": "Shopping", "mapRef": "Map Ref.: M03 (FA)", "type": "Potions", "description": ""},</v>
      </c>
    </row>
    <row r="44" spans="1:14" ht="30" x14ac:dyDescent="0.25">
      <c r="A44" s="7" t="s">
        <v>116</v>
      </c>
      <c r="B44" s="7" t="s">
        <v>1187</v>
      </c>
      <c r="C44" s="6">
        <v>3715</v>
      </c>
      <c r="D44" s="6">
        <v>6110</v>
      </c>
      <c r="E44" s="6" t="str">
        <f>IFERROR(VLOOKUP($A44,tWA[],5,FALSE),"--")</f>
        <v>--</v>
      </c>
      <c r="F44" s="6" t="str">
        <f>IFERROR(VLOOKUP($A44,tWA[],6,FALSE),"--")</f>
        <v>--</v>
      </c>
      <c r="G44" s="18" t="s">
        <v>1748</v>
      </c>
      <c r="H44" s="18">
        <f t="shared" si="0"/>
        <v>1095.5949999999998</v>
      </c>
      <c r="I44" s="18" t="str">
        <f t="shared" si="1"/>
        <v>1095.595,  3790.816</v>
      </c>
      <c r="J44" s="6" t="s">
        <v>70</v>
      </c>
      <c r="K44" s="6" t="s">
        <v>118</v>
      </c>
      <c r="L44" s="6" t="s">
        <v>117</v>
      </c>
      <c r="M44" s="11" t="s">
        <v>1226</v>
      </c>
      <c r="N44" s="7" t="str">
        <f t="shared" si="2"/>
        <v>{"name": "Caddis Fly's Rooms", "map": "Haven", "fCoords": "3715, 6110", "waCoords": "--, --", "leaflet": "1095.595,  3790.816", "pinType": "Residence", "mapRef": "Map Ref.: L03 (EY)", "type": "Rooming House", "description": ""},</v>
      </c>
    </row>
    <row r="45" spans="1:14" ht="30" x14ac:dyDescent="0.25">
      <c r="A45" s="7" t="s">
        <v>1143</v>
      </c>
      <c r="B45" s="7" t="s">
        <v>1187</v>
      </c>
      <c r="C45" s="6">
        <v>6317</v>
      </c>
      <c r="D45" s="6">
        <v>5249</v>
      </c>
      <c r="E45" s="6" t="str">
        <f>IFERROR(VLOOKUP($A45,tWA[],5,FALSE),"--")</f>
        <v>--</v>
      </c>
      <c r="F45" s="6" t="str">
        <f>IFERROR(VLOOKUP($A45,tWA[],6,FALSE),"--")</f>
        <v>--</v>
      </c>
      <c r="G45" s="18" t="s">
        <v>1749</v>
      </c>
      <c r="H45" s="18">
        <f t="shared" si="0"/>
        <v>1974.1659999999999</v>
      </c>
      <c r="I45" s="18" t="str">
        <f t="shared" si="1"/>
        <v>1974.166,  6445.918</v>
      </c>
      <c r="J45" s="6" t="s">
        <v>1677</v>
      </c>
      <c r="K45" s="6" t="s">
        <v>119</v>
      </c>
      <c r="L45" s="6" t="s">
        <v>45</v>
      </c>
      <c r="M45" s="11" t="s">
        <v>1226</v>
      </c>
      <c r="N45" s="7" t="str">
        <f t="shared" si="2"/>
        <v>{"name": "Caradallo's Storage", "map": "Haven", "fCoords": "6317, 5249", "waCoords": "--, --", "leaflet": "1974.166,  6445.918", "pinType": "Service", "mapRef": "Map Ref.: U06 (BA)", "type": "Warehouse", "description": ""},</v>
      </c>
    </row>
    <row r="46" spans="1:14" ht="30" x14ac:dyDescent="0.25">
      <c r="A46" s="7" t="s">
        <v>120</v>
      </c>
      <c r="B46" s="7" t="s">
        <v>1187</v>
      </c>
      <c r="C46" s="6">
        <v>6079</v>
      </c>
      <c r="D46" s="6">
        <v>1804</v>
      </c>
      <c r="E46" s="6" t="str">
        <f>IFERROR(VLOOKUP($A46,tWA[],5,FALSE),"--")</f>
        <v>6076</v>
      </c>
      <c r="F46" s="6" t="str">
        <f>IFERROR(VLOOKUP($A46,tWA[],6,FALSE),"--")</f>
        <v>5372</v>
      </c>
      <c r="G46" s="18" t="s">
        <v>1750</v>
      </c>
      <c r="H46" s="18">
        <f t="shared" si="0"/>
        <v>5489.4720000000007</v>
      </c>
      <c r="I46" s="18" t="str">
        <f t="shared" si="1"/>
        <v>5489.472,  6203.061</v>
      </c>
      <c r="J46" s="6" t="s">
        <v>9</v>
      </c>
      <c r="K46" s="6" t="s">
        <v>121</v>
      </c>
      <c r="L46" s="6" t="s">
        <v>9</v>
      </c>
      <c r="M46" s="11" t="s">
        <v>1339</v>
      </c>
      <c r="N46" s="7" t="str">
        <f t="shared" si="2"/>
        <v>{"name": "Caravan Station", "map": "Haven", "fCoords": "6079, 1804", "waCoords": "6076, 5372", "leaflet": "5489.472,  6203.061", "pinType": "City Guard", "mapRef": "Map Ref.: U17 (RU)", "type": "City Guard", "description": "Station of the City Watch"},</v>
      </c>
    </row>
    <row r="47" spans="1:14" ht="30" x14ac:dyDescent="0.25">
      <c r="A47" s="7" t="s">
        <v>122</v>
      </c>
      <c r="B47" s="7" t="s">
        <v>1187</v>
      </c>
      <c r="C47" s="6">
        <v>2253</v>
      </c>
      <c r="D47" s="6">
        <v>4662</v>
      </c>
      <c r="E47" s="6" t="str">
        <f>IFERROR(VLOOKUP($A47,tWA[],5,FALSE),"--")</f>
        <v>--</v>
      </c>
      <c r="F47" s="6" t="str">
        <f>IFERROR(VLOOKUP($A47,tWA[],6,FALSE),"--")</f>
        <v>--</v>
      </c>
      <c r="G47" s="18" t="s">
        <v>1751</v>
      </c>
      <c r="H47" s="18">
        <f t="shared" si="0"/>
        <v>2573.1459999999997</v>
      </c>
      <c r="I47" s="18" t="str">
        <f t="shared" si="1"/>
        <v>2573.146,  2298.98</v>
      </c>
      <c r="J47" s="6" t="s">
        <v>1678</v>
      </c>
      <c r="K47" s="6" t="s">
        <v>124</v>
      </c>
      <c r="L47" s="6" t="s">
        <v>123</v>
      </c>
      <c r="M47" s="11" t="s">
        <v>1226</v>
      </c>
      <c r="N47" s="7" t="str">
        <f t="shared" si="2"/>
        <v>{"name": "Carillon Tower", "map": "Haven", "fCoords": "2253, 4662", "waCoords": "--, --", "leaflet": "2573.146,  2298.98", "pinType": "Landmark", "mapRef": "Map Ref.: G08 (ML)", "type": "Monument", "description": ""},</v>
      </c>
    </row>
    <row r="48" spans="1:14" ht="30" x14ac:dyDescent="0.25">
      <c r="A48" s="7" t="s">
        <v>125</v>
      </c>
      <c r="B48" s="7" t="s">
        <v>1187</v>
      </c>
      <c r="C48" s="6">
        <v>3369</v>
      </c>
      <c r="D48" s="6">
        <v>3815</v>
      </c>
      <c r="E48" s="6" t="str">
        <f>IFERROR(VLOOKUP($A48,tWA[],5,FALSE),"--")</f>
        <v>--</v>
      </c>
      <c r="F48" s="6" t="str">
        <f>IFERROR(VLOOKUP($A48,tWA[],6,FALSE),"--")</f>
        <v>--</v>
      </c>
      <c r="G48" s="18" t="s">
        <v>1752</v>
      </c>
      <c r="H48" s="18">
        <f t="shared" si="0"/>
        <v>3437.4319999999998</v>
      </c>
      <c r="I48" s="18" t="str">
        <f t="shared" si="1"/>
        <v>3437.432,  3437.755</v>
      </c>
      <c r="J48" s="6" t="s">
        <v>1218</v>
      </c>
      <c r="K48" s="6" t="s">
        <v>127</v>
      </c>
      <c r="L48" s="6" t="s">
        <v>126</v>
      </c>
      <c r="M48" s="11" t="s">
        <v>1226</v>
      </c>
      <c r="N48" s="7" t="str">
        <f t="shared" si="2"/>
        <v>{"name": "Carpeters Ltd.", "map": "Haven", "fCoords": "3369, 3815", "waCoords": "--, --", "leaflet": "3437.432,  3437.755", "pinType": "Shopping", "mapRef": "Map Ref.: K11 (JM)", "type": "Textiles", "description": ""},</v>
      </c>
    </row>
    <row r="49" spans="1:14" ht="30" x14ac:dyDescent="0.25">
      <c r="A49" s="7" t="s">
        <v>128</v>
      </c>
      <c r="B49" s="7" t="s">
        <v>1187</v>
      </c>
      <c r="C49" s="6">
        <v>1974</v>
      </c>
      <c r="D49" s="6">
        <v>2357</v>
      </c>
      <c r="E49" s="6" t="str">
        <f>IFERROR(VLOOKUP($A49,tWA[],5,FALSE),"--")</f>
        <v>--</v>
      </c>
      <c r="F49" s="6" t="str">
        <f>IFERROR(VLOOKUP($A49,tWA[],6,FALSE),"--")</f>
        <v>--</v>
      </c>
      <c r="G49" s="18" t="s">
        <v>1753</v>
      </c>
      <c r="H49" s="18">
        <f t="shared" si="0"/>
        <v>4925.1870000000008</v>
      </c>
      <c r="I49" s="18" t="str">
        <f t="shared" si="1"/>
        <v>4925.187,  2014.286</v>
      </c>
      <c r="J49" s="6" t="s">
        <v>1218</v>
      </c>
      <c r="K49" s="6" t="s">
        <v>129</v>
      </c>
      <c r="L49" s="6" t="s">
        <v>48</v>
      </c>
      <c r="M49" s="11" t="s">
        <v>1226</v>
      </c>
      <c r="N49" s="7" t="str">
        <f t="shared" si="2"/>
        <v>{"name": "Cellini's Metalworks", "map": "Haven", "fCoords": "1974, 2357", "waCoords": "--, --", "leaflet": "4925.187,  2014.286", "pinType": "Shopping", "mapRef": "Map Ref.: F16 (RR)", "type": "Foundry", "description": ""},</v>
      </c>
    </row>
    <row r="50" spans="1:14" ht="30" x14ac:dyDescent="0.25">
      <c r="A50" s="7" t="s">
        <v>130</v>
      </c>
      <c r="B50" s="7" t="s">
        <v>1187</v>
      </c>
      <c r="C50" s="6">
        <v>791</v>
      </c>
      <c r="D50" s="6">
        <v>4212</v>
      </c>
      <c r="E50" s="6" t="str">
        <f>IFERROR(VLOOKUP($A50,tWA[],5,FALSE),"--")</f>
        <v>--</v>
      </c>
      <c r="F50" s="6" t="str">
        <f>IFERROR(VLOOKUP($A50,tWA[],6,FALSE),"--")</f>
        <v>--</v>
      </c>
      <c r="G50" s="18" t="s">
        <v>1754</v>
      </c>
      <c r="H50" s="18">
        <f t="shared" si="0"/>
        <v>3032.33</v>
      </c>
      <c r="I50" s="18" t="str">
        <f t="shared" si="1"/>
        <v>3032.33,  807.143</v>
      </c>
      <c r="J50" s="6" t="s">
        <v>1677</v>
      </c>
      <c r="K50" s="6" t="s">
        <v>131</v>
      </c>
      <c r="L50" s="6" t="s">
        <v>81</v>
      </c>
      <c r="M50" s="11" t="s">
        <v>1226</v>
      </c>
      <c r="N50" s="7" t="str">
        <f t="shared" si="2"/>
        <v>{"name": "Centauri Transport Company", "map": "Haven", "fCoords": "791, 4212", "waCoords": "--, --", "leaflet": "3032.33,  807.143", "pinType": "Service", "mapRef": "Map Ref.: B09 (LM)", "type": "Courier", "description": ""},</v>
      </c>
    </row>
    <row r="51" spans="1:14" ht="30" x14ac:dyDescent="0.25">
      <c r="A51" s="7" t="s">
        <v>1144</v>
      </c>
      <c r="B51" s="7" t="s">
        <v>1187</v>
      </c>
      <c r="C51" s="6">
        <v>2366</v>
      </c>
      <c r="D51" s="6">
        <v>4747</v>
      </c>
      <c r="E51" s="6" t="str">
        <f>IFERROR(VLOOKUP($A51,tWA[],5,FALSE),"--")</f>
        <v>--</v>
      </c>
      <c r="F51" s="6" t="str">
        <f>IFERROR(VLOOKUP($A51,tWA[],6,FALSE),"--")</f>
        <v>--</v>
      </c>
      <c r="G51" s="18" t="s">
        <v>1755</v>
      </c>
      <c r="H51" s="18">
        <f t="shared" si="0"/>
        <v>2486.4110000000001</v>
      </c>
      <c r="I51" s="18" t="str">
        <f t="shared" si="1"/>
        <v>2486.411,  2414.286</v>
      </c>
      <c r="J51" s="6" t="s">
        <v>70</v>
      </c>
      <c r="K51" s="6" t="s">
        <v>133</v>
      </c>
      <c r="L51" s="6" t="s">
        <v>132</v>
      </c>
      <c r="M51" s="11" t="s">
        <v>1226</v>
      </c>
      <c r="N51" s="7" t="str">
        <f t="shared" si="2"/>
        <v>{"name": "Choirmaster's House", "map": "Haven", "fCoords": "2366, 4747", "waCoords": "--, --", "leaflet": "2486.411,  2414.286", "pinType": "Residence", "mapRef": "Map Ref.: H08 (MI)", "type": "Large House", "description": ""},</v>
      </c>
    </row>
    <row r="52" spans="1:14" ht="30" x14ac:dyDescent="0.25">
      <c r="A52" s="7" t="s">
        <v>134</v>
      </c>
      <c r="B52" s="7" t="s">
        <v>1187</v>
      </c>
      <c r="C52" s="6">
        <v>2614</v>
      </c>
      <c r="D52" s="6">
        <v>4876</v>
      </c>
      <c r="E52" s="6" t="str">
        <f>IFERROR(VLOOKUP($A52,tWA[],5,FALSE),"--")</f>
        <v>2640</v>
      </c>
      <c r="F52" s="6" t="str">
        <f>IFERROR(VLOOKUP($A52,tWA[],6,FALSE),"--")</f>
        <v>2297</v>
      </c>
      <c r="G52" s="18" t="s">
        <v>1756</v>
      </c>
      <c r="H52" s="18">
        <f t="shared" si="0"/>
        <v>2354.779</v>
      </c>
      <c r="I52" s="18" t="str">
        <f t="shared" si="1"/>
        <v>2354.779,  2667.347</v>
      </c>
      <c r="J52" s="6" t="s">
        <v>1678</v>
      </c>
      <c r="K52" s="6" t="s">
        <v>136</v>
      </c>
      <c r="L52" s="6" t="s">
        <v>135</v>
      </c>
      <c r="M52" s="11" t="s">
        <v>1367</v>
      </c>
      <c r="N52" s="7" t="str">
        <f t="shared" si="2"/>
        <v>{"name": "Circus Park", "map": "Haven", "fCoords": "2614, 4876", "waCoords": "2640, 2297", "leaflet": "2354.779,  2667.347", "pinType": "Landmark", "mapRef": "Map Ref.: I07 (MH)", "type": "Park", "description": "Often used y circuses when in town"},</v>
      </c>
    </row>
    <row r="53" spans="1:14" ht="30" x14ac:dyDescent="0.25">
      <c r="A53" s="7" t="s">
        <v>1120</v>
      </c>
      <c r="B53" s="7" t="s">
        <v>1187</v>
      </c>
      <c r="C53" s="6">
        <v>3413</v>
      </c>
      <c r="D53" s="6">
        <v>1537</v>
      </c>
      <c r="E53" s="6" t="str">
        <f>IFERROR(VLOOKUP($A53,tWA[],5,FALSE),"--")</f>
        <v>--</v>
      </c>
      <c r="F53" s="6" t="str">
        <f>IFERROR(VLOOKUP($A53,tWA[],6,FALSE),"--")</f>
        <v>--</v>
      </c>
      <c r="G53" s="18" t="s">
        <v>1757</v>
      </c>
      <c r="H53" s="18">
        <f t="shared" si="0"/>
        <v>5761.9210000000003</v>
      </c>
      <c r="I53" s="18" t="str">
        <f t="shared" si="1"/>
        <v>5761.921,  3482.653</v>
      </c>
      <c r="J53" s="6" t="s">
        <v>1678</v>
      </c>
      <c r="K53" s="6" t="s">
        <v>1121</v>
      </c>
      <c r="L53" s="6" t="s">
        <v>135</v>
      </c>
      <c r="M53" s="11" t="s">
        <v>1226</v>
      </c>
      <c r="N53" s="7" t="str">
        <f t="shared" si="2"/>
        <v>{"name": "City of the Dead", "map": "Haven", "fCoords": "3413, 1537", "waCoords": "--, --", "leaflet": "5761.921,  3482.653", "pinType": "Landmark", "mapRef": "Map Ref.: K18 (UD)", "type": "Park", "description": ""},</v>
      </c>
    </row>
    <row r="54" spans="1:14" ht="30" x14ac:dyDescent="0.25">
      <c r="A54" s="7" t="s">
        <v>137</v>
      </c>
      <c r="B54" s="7" t="s">
        <v>1187</v>
      </c>
      <c r="C54" s="6">
        <v>4823</v>
      </c>
      <c r="D54" s="6">
        <v>5070</v>
      </c>
      <c r="E54" s="6" t="str">
        <f>IFERROR(VLOOKUP($A54,tWA[],5,FALSE),"--")</f>
        <v>--</v>
      </c>
      <c r="F54" s="6" t="str">
        <f>IFERROR(VLOOKUP($A54,tWA[],6,FALSE),"--")</f>
        <v>--</v>
      </c>
      <c r="G54" s="18" t="s">
        <v>1758</v>
      </c>
      <c r="H54" s="18">
        <f t="shared" si="0"/>
        <v>2156.819</v>
      </c>
      <c r="I54" s="18" t="str">
        <f t="shared" si="1"/>
        <v>2156.819,  4921.429</v>
      </c>
      <c r="J54" s="6" t="s">
        <v>1204</v>
      </c>
      <c r="K54" s="6" t="s">
        <v>138</v>
      </c>
      <c r="L54" s="6" t="s">
        <v>68</v>
      </c>
      <c r="M54" s="11" t="s">
        <v>1226</v>
      </c>
      <c r="N54" s="7" t="str">
        <f t="shared" si="2"/>
        <v>{"name": "Clanahan's Pub", "map": "Haven", "fCoords": "4823, 5070", "waCoords": "--, --", "leaflet": "2156.819,  4921.429", "pinType": "Inns &amp; Taverns", "mapRef": "Map Ref.: P07 (EP)", "type": "Tavern", "description": ""},</v>
      </c>
    </row>
    <row r="55" spans="1:14" ht="30" x14ac:dyDescent="0.25">
      <c r="A55" s="7" t="s">
        <v>139</v>
      </c>
      <c r="B55" s="7" t="s">
        <v>1187</v>
      </c>
      <c r="C55" s="6">
        <v>976</v>
      </c>
      <c r="D55" s="6">
        <v>3531</v>
      </c>
      <c r="E55" s="6" t="str">
        <f>IFERROR(VLOOKUP($A55,tWA[],5,FALSE),"--")</f>
        <v>--</v>
      </c>
      <c r="F55" s="6" t="str">
        <f>IFERROR(VLOOKUP($A55,tWA[],6,FALSE),"--")</f>
        <v>--</v>
      </c>
      <c r="G55" s="18" t="s">
        <v>1759</v>
      </c>
      <c r="H55" s="18">
        <f t="shared" si="0"/>
        <v>3727.2280000000001</v>
      </c>
      <c r="I55" s="18" t="str">
        <f t="shared" si="1"/>
        <v>3727.228,  995.918</v>
      </c>
      <c r="J55" s="6" t="s">
        <v>1218</v>
      </c>
      <c r="K55" s="6" t="s">
        <v>141</v>
      </c>
      <c r="L55" s="6" t="s">
        <v>140</v>
      </c>
      <c r="M55" s="11" t="s">
        <v>1226</v>
      </c>
      <c r="N55" s="7" t="str">
        <f t="shared" si="2"/>
        <v>{"name": "Cockleberry's Cabinets", "map": "Haven", "fCoords": "976, 3531", "waCoords": "--, --", "leaflet": "3727.228,  995.918", "pinType": "Shopping", "mapRef": "Map Ref.: C12 (LF)", "type": "Carpenter", "description": ""},</v>
      </c>
    </row>
    <row r="56" spans="1:14" ht="45" x14ac:dyDescent="0.25">
      <c r="A56" s="7" t="s">
        <v>142</v>
      </c>
      <c r="B56" s="7" t="s">
        <v>1187</v>
      </c>
      <c r="C56" s="6">
        <v>1907</v>
      </c>
      <c r="D56" s="6">
        <v>4131</v>
      </c>
      <c r="E56" s="6" t="str">
        <f>IFERROR(VLOOKUP($A56,tWA[],5,FALSE),"--")</f>
        <v>1745</v>
      </c>
      <c r="F56" s="6" t="str">
        <f>IFERROR(VLOOKUP($A56,tWA[],6,FALSE),"--")</f>
        <v>3109</v>
      </c>
      <c r="G56" s="18" t="s">
        <v>1760</v>
      </c>
      <c r="H56" s="18">
        <f t="shared" si="0"/>
        <v>3114.9829999999997</v>
      </c>
      <c r="I56" s="18" t="str">
        <f t="shared" si="1"/>
        <v>3114.983,  1945.918</v>
      </c>
      <c r="J56" s="6" t="s">
        <v>1198</v>
      </c>
      <c r="K56" s="6" t="s">
        <v>144</v>
      </c>
      <c r="L56" s="6" t="s">
        <v>143</v>
      </c>
      <c r="M56" s="11" t="s">
        <v>1345</v>
      </c>
      <c r="N56" s="7" t="str">
        <f t="shared" si="2"/>
        <v>{"name": "College of Common Law", "map": "Haven", "fCoords": "1907, 4131", "waCoords": "1745, 3109", "leaflet": "3114.983,  1945.918", "pinType": "Education", "mapRef": "Map Ref.: F10 (LT)", "type": "University", "description": "Part of the University of Haven"},</v>
      </c>
    </row>
    <row r="57" spans="1:14" ht="45" x14ac:dyDescent="0.25">
      <c r="A57" s="7" t="s">
        <v>145</v>
      </c>
      <c r="B57" s="7" t="s">
        <v>1187</v>
      </c>
      <c r="C57" s="6">
        <v>1816</v>
      </c>
      <c r="D57" s="6">
        <v>4055</v>
      </c>
      <c r="E57" s="6" t="str">
        <f>IFERROR(VLOOKUP($A57,tWA[],5,FALSE),"--")</f>
        <v>1812</v>
      </c>
      <c r="F57" s="6" t="str">
        <f>IFERROR(VLOOKUP($A57,tWA[],6,FALSE),"--")</f>
        <v>3122</v>
      </c>
      <c r="G57" s="18" t="s">
        <v>1761</v>
      </c>
      <c r="H57" s="18">
        <f t="shared" si="0"/>
        <v>3192.5340000000001</v>
      </c>
      <c r="I57" s="18" t="str">
        <f t="shared" si="1"/>
        <v>3192.534,  1853.061</v>
      </c>
      <c r="J57" s="6" t="s">
        <v>1198</v>
      </c>
      <c r="K57" s="6" t="s">
        <v>146</v>
      </c>
      <c r="L57" s="6" t="s">
        <v>143</v>
      </c>
      <c r="M57" s="11" t="s">
        <v>1345</v>
      </c>
      <c r="N57" s="7" t="str">
        <f t="shared" si="2"/>
        <v>{"name": "College of Natural Philosophy", "map": "Haven", "fCoords": "1816, 4055", "waCoords": "1812, 3122", "leaflet": "3192.534,  1853.061", "pinType": "Education", "mapRef": "Map Ref.: F10 (LR)", "type": "University", "description": "Part of the University of Haven"},</v>
      </c>
    </row>
    <row r="58" spans="1:14" ht="45" x14ac:dyDescent="0.25">
      <c r="A58" s="7" t="s">
        <v>147</v>
      </c>
      <c r="B58" s="7" t="s">
        <v>1187</v>
      </c>
      <c r="C58" s="6">
        <v>1991</v>
      </c>
      <c r="D58" s="6">
        <v>4018</v>
      </c>
      <c r="E58" s="6" t="str">
        <f>IFERROR(VLOOKUP($A58,tWA[],5,FALSE),"--")</f>
        <v>1993</v>
      </c>
      <c r="F58" s="6" t="str">
        <f>IFERROR(VLOOKUP($A58,tWA[],6,FALSE),"--")</f>
        <v>3150</v>
      </c>
      <c r="G58" s="18" t="s">
        <v>1762</v>
      </c>
      <c r="H58" s="18">
        <f t="shared" si="0"/>
        <v>3230.2889999999998</v>
      </c>
      <c r="I58" s="18" t="str">
        <f t="shared" si="1"/>
        <v>3230.289,  2031.633</v>
      </c>
      <c r="J58" s="6" t="s">
        <v>1198</v>
      </c>
      <c r="K58" s="6" t="s">
        <v>148</v>
      </c>
      <c r="L58" s="6" t="s">
        <v>143</v>
      </c>
      <c r="M58" s="11" t="s">
        <v>1345</v>
      </c>
      <c r="N58" s="7" t="str">
        <f t="shared" si="2"/>
        <v>{"name": "College of Physical Naturalism", "map": "Haven", "fCoords": "1991, 4018", "waCoords": "1993, 3150", "leaflet": "3230.289,  2031.633", "pinType": "Education", "mapRef": "Map Ref.: F10 (JQ)", "type": "University", "description": "Part of the University of Haven"},</v>
      </c>
    </row>
    <row r="59" spans="1:14" ht="30" x14ac:dyDescent="0.25">
      <c r="A59" s="7" t="s">
        <v>149</v>
      </c>
      <c r="B59" s="7" t="s">
        <v>1187</v>
      </c>
      <c r="C59" s="6">
        <v>1773</v>
      </c>
      <c r="D59" s="6">
        <v>4002</v>
      </c>
      <c r="E59" s="6" t="str">
        <f>IFERROR(VLOOKUP($A59,tWA[],5,FALSE),"--")</f>
        <v>1771</v>
      </c>
      <c r="F59" s="6" t="str">
        <f>IFERROR(VLOOKUP($A59,tWA[],6,FALSE),"--")</f>
        <v>3177</v>
      </c>
      <c r="G59" s="18" t="s">
        <v>1763</v>
      </c>
      <c r="H59" s="18">
        <f t="shared" si="0"/>
        <v>3246.6149999999998</v>
      </c>
      <c r="I59" s="18" t="str">
        <f t="shared" si="1"/>
        <v>3246.615,  1809.184</v>
      </c>
      <c r="J59" s="6" t="s">
        <v>1198</v>
      </c>
      <c r="K59" s="6" t="s">
        <v>150</v>
      </c>
      <c r="L59" s="6" t="s">
        <v>143</v>
      </c>
      <c r="M59" s="11" t="s">
        <v>1345</v>
      </c>
      <c r="N59" s="7" t="str">
        <f t="shared" si="2"/>
        <v>{"name": "College of Rhetoric", "map": "Haven", "fCoords": "1773, 4002", "waCoords": "1771, 3177", "leaflet": "3246.615,  1809.184", "pinType": "Education", "mapRef": "Map Ref.: F10 (LS)", "type": "University", "description": "Part of the University of Haven"},</v>
      </c>
    </row>
    <row r="60" spans="1:14" ht="45" x14ac:dyDescent="0.25">
      <c r="A60" s="7" t="s">
        <v>151</v>
      </c>
      <c r="B60" s="7" t="s">
        <v>1187</v>
      </c>
      <c r="C60" s="6">
        <v>2119</v>
      </c>
      <c r="D60" s="6">
        <v>4211</v>
      </c>
      <c r="E60" s="6" t="str">
        <f>IFERROR(VLOOKUP($A60,tWA[],5,FALSE),"--")</f>
        <v>2114</v>
      </c>
      <c r="F60" s="6" t="str">
        <f>IFERROR(VLOOKUP($A60,tWA[],6,FALSE),"--")</f>
        <v>2968</v>
      </c>
      <c r="G60" s="18" t="s">
        <v>1764</v>
      </c>
      <c r="H60" s="18">
        <f t="shared" si="0"/>
        <v>3033.35</v>
      </c>
      <c r="I60" s="18" t="str">
        <f t="shared" si="1"/>
        <v>3033.35,  2162.245</v>
      </c>
      <c r="J60" s="6" t="s">
        <v>1198</v>
      </c>
      <c r="K60" s="6" t="s">
        <v>152</v>
      </c>
      <c r="L60" s="6" t="s">
        <v>143</v>
      </c>
      <c r="M60" s="11" t="s">
        <v>1345</v>
      </c>
      <c r="N60" s="7" t="str">
        <f t="shared" si="2"/>
        <v>{"name": "College of the Mystic Arts", "map": "Haven", "fCoords": "2119, 4211", "waCoords": "2114, 2968", "leaflet": "3033.35,  2162.245", "pinType": "Education", "mapRef": "Map Ref.: G09 (NK)", "type": "University", "description": "Part of the University of Haven"},</v>
      </c>
    </row>
    <row r="61" spans="1:14" ht="30" x14ac:dyDescent="0.25">
      <c r="A61" s="7" t="s">
        <v>153</v>
      </c>
      <c r="B61" s="7" t="s">
        <v>1187</v>
      </c>
      <c r="C61" s="6">
        <v>2430</v>
      </c>
      <c r="D61" s="6">
        <v>4831</v>
      </c>
      <c r="E61" s="6" t="str">
        <f>IFERROR(VLOOKUP($A61,tWA[],5,FALSE),"--")</f>
        <v>--</v>
      </c>
      <c r="F61" s="6" t="str">
        <f>IFERROR(VLOOKUP($A61,tWA[],6,FALSE),"--")</f>
        <v>--</v>
      </c>
      <c r="G61" s="18" t="s">
        <v>1765</v>
      </c>
      <c r="H61" s="18">
        <f t="shared" si="0"/>
        <v>2400.6970000000001</v>
      </c>
      <c r="I61" s="18" t="str">
        <f t="shared" si="1"/>
        <v>2400.697,  2479.592</v>
      </c>
      <c r="J61" s="6" t="s">
        <v>1218</v>
      </c>
      <c r="K61" s="6" t="s">
        <v>155</v>
      </c>
      <c r="L61" s="6" t="s">
        <v>154</v>
      </c>
      <c r="M61" s="11" t="s">
        <v>1226</v>
      </c>
      <c r="N61" s="7" t="str">
        <f t="shared" si="2"/>
        <v>{"name": "Composer's Studio", "map": "Haven", "fCoords": "2430, 4831", "waCoords": "--, --", "leaflet": "2400.697,  2479.592", "pinType": "Shopping", "mapRef": "Map Ref.: H07 (MU)", "type": "Music", "description": ""},</v>
      </c>
    </row>
    <row r="62" spans="1:14" ht="30" x14ac:dyDescent="0.25">
      <c r="A62" s="7" t="s">
        <v>156</v>
      </c>
      <c r="B62" s="7" t="s">
        <v>1187</v>
      </c>
      <c r="C62" s="6">
        <v>3413</v>
      </c>
      <c r="D62" s="6">
        <v>3776</v>
      </c>
      <c r="E62" s="6" t="str">
        <f>IFERROR(VLOOKUP($A62,tWA[],5,FALSE),"--")</f>
        <v>--</v>
      </c>
      <c r="F62" s="6" t="str">
        <f>IFERROR(VLOOKUP($A62,tWA[],6,FALSE),"--")</f>
        <v>--</v>
      </c>
      <c r="G62" s="18" t="s">
        <v>1766</v>
      </c>
      <c r="H62" s="18">
        <f t="shared" si="0"/>
        <v>3477.2280000000001</v>
      </c>
      <c r="I62" s="18" t="str">
        <f t="shared" si="1"/>
        <v>3477.228,  3482.653</v>
      </c>
      <c r="J62" s="6" t="s">
        <v>1678</v>
      </c>
      <c r="K62" s="6" t="s">
        <v>158</v>
      </c>
      <c r="L62" s="6" t="s">
        <v>157</v>
      </c>
      <c r="M62" s="11" t="s">
        <v>1226</v>
      </c>
      <c r="N62" s="7" t="str">
        <f t="shared" si="2"/>
        <v>{"name": "Condemned Building", "map": "Haven", "fCoords": "3413, 3776", "waCoords": "--, --", "leaflet": "3477.228,  3482.653", "pinType": "Landmark", "mapRef": "Map Ref.: K11 (JL)", "type": "Ruin", "description": ""},</v>
      </c>
    </row>
    <row r="63" spans="1:14" ht="30" x14ac:dyDescent="0.25">
      <c r="A63" s="7" t="s">
        <v>159</v>
      </c>
      <c r="B63" s="7" t="s">
        <v>1187</v>
      </c>
      <c r="C63" s="6">
        <v>6862</v>
      </c>
      <c r="D63" s="6">
        <v>4004</v>
      </c>
      <c r="E63" s="6" t="str">
        <f>IFERROR(VLOOKUP($A63,tWA[],5,FALSE),"--")</f>
        <v>6863</v>
      </c>
      <c r="F63" s="6" t="str">
        <f>IFERROR(VLOOKUP($A63,tWA[],6,FALSE),"--")</f>
        <v>3174</v>
      </c>
      <c r="G63" s="18" t="s">
        <v>1767</v>
      </c>
      <c r="H63" s="18">
        <f t="shared" si="0"/>
        <v>3244.5740000000001</v>
      </c>
      <c r="I63" s="18" t="str">
        <f t="shared" si="1"/>
        <v>3244.574,  7002.041</v>
      </c>
      <c r="J63" s="6" t="s">
        <v>9</v>
      </c>
      <c r="K63" s="6" t="s">
        <v>160</v>
      </c>
      <c r="L63" s="6" t="s">
        <v>9</v>
      </c>
      <c r="M63" s="11" t="s">
        <v>1340</v>
      </c>
      <c r="N63" s="7" t="str">
        <f t="shared" si="2"/>
        <v>{"name": "Coppergate Barracks", "map": "Haven", "fCoords": "6862, 4004", "waCoords": "6863, 3174", "leaflet": "3244.574,  7002.041", "pinType": "City Guard", "mapRef": "Map Ref.: W10 (RV)", "type": "City Guard", "description": "A City Watch station."},</v>
      </c>
    </row>
    <row r="64" spans="1:14" ht="30" x14ac:dyDescent="0.25">
      <c r="A64" s="7" t="s">
        <v>161</v>
      </c>
      <c r="B64" s="7" t="s">
        <v>1187</v>
      </c>
      <c r="C64" s="6">
        <v>3497</v>
      </c>
      <c r="D64" s="6">
        <v>4101</v>
      </c>
      <c r="E64" s="6" t="str">
        <f>IFERROR(VLOOKUP($A64,tWA[],5,FALSE),"--")</f>
        <v>3493</v>
      </c>
      <c r="F64" s="6" t="str">
        <f>IFERROR(VLOOKUP($A64,tWA[],6,FALSE),"--")</f>
        <v>3067</v>
      </c>
      <c r="G64" s="18" t="s">
        <v>1768</v>
      </c>
      <c r="H64" s="18">
        <f t="shared" si="0"/>
        <v>3145.5949999999998</v>
      </c>
      <c r="I64" s="18" t="str">
        <f t="shared" si="1"/>
        <v>3145.595,  3568.367</v>
      </c>
      <c r="J64" s="6" t="s">
        <v>9</v>
      </c>
      <c r="K64" s="6" t="s">
        <v>162</v>
      </c>
      <c r="L64" s="6" t="s">
        <v>9</v>
      </c>
      <c r="M64" s="11" t="s">
        <v>1341</v>
      </c>
      <c r="N64" s="7" t="str">
        <f t="shared" si="2"/>
        <v>{"name": "Corridor Barracks", "map": "Haven", "fCoords": "3497, 4101", "waCoords": "3493, 3067", "leaflet": "3145.595,  3568.367", "pinType": "City Guard", "mapRef": "Map Ref.: L10 (OF)", "type": "City Guard", "description": "A City Watch Station"},</v>
      </c>
    </row>
    <row r="65" spans="1:14" ht="30" x14ac:dyDescent="0.25">
      <c r="A65" s="7" t="s">
        <v>163</v>
      </c>
      <c r="B65" s="7" t="s">
        <v>1187</v>
      </c>
      <c r="C65" s="6">
        <v>4308</v>
      </c>
      <c r="D65" s="6">
        <v>2253</v>
      </c>
      <c r="E65" s="6" t="str">
        <f>IFERROR(VLOOKUP($A65,tWA[],5,FALSE),"--")</f>
        <v>4302</v>
      </c>
      <c r="F65" s="6" t="str">
        <f>IFERROR(VLOOKUP($A65,tWA[],6,FALSE),"--")</f>
        <v>4933</v>
      </c>
      <c r="G65" s="18" t="s">
        <v>1769</v>
      </c>
      <c r="H65" s="18">
        <f t="shared" si="0"/>
        <v>5031.3090000000002</v>
      </c>
      <c r="I65" s="18" t="str">
        <f t="shared" si="1"/>
        <v>5031.309,  4395.918</v>
      </c>
      <c r="J65" s="6" t="s">
        <v>338</v>
      </c>
      <c r="K65" s="6" t="s">
        <v>165</v>
      </c>
      <c r="L65" s="6" t="s">
        <v>164</v>
      </c>
      <c r="M65" s="11" t="s">
        <v>1348</v>
      </c>
      <c r="N65" s="7" t="str">
        <f t="shared" si="2"/>
        <v>{"name": "Courts", "map": "Haven", "fCoords": "4308, 2253", "waCoords": "4302, 4933", "leaflet": "5031.309,  4395.918", "pinType": "Government", "mapRef": "Map Ref.: N16 (HH)", "type": "Courthouse", "description": "The courthouse"},</v>
      </c>
    </row>
    <row r="66" spans="1:14" ht="30" x14ac:dyDescent="0.25">
      <c r="A66" s="7" t="s">
        <v>166</v>
      </c>
      <c r="B66" s="7" t="s">
        <v>1187</v>
      </c>
      <c r="C66" s="6">
        <v>4423</v>
      </c>
      <c r="D66" s="6">
        <v>2421</v>
      </c>
      <c r="E66" s="6" t="str">
        <f>IFERROR(VLOOKUP($A66,tWA[],5,FALSE),"--")</f>
        <v>--</v>
      </c>
      <c r="F66" s="6" t="str">
        <f>IFERROR(VLOOKUP($A66,tWA[],6,FALSE),"--")</f>
        <v>--</v>
      </c>
      <c r="G66" s="18" t="s">
        <v>1770</v>
      </c>
      <c r="H66" s="18">
        <f t="shared" si="0"/>
        <v>4859.8810000000003</v>
      </c>
      <c r="I66" s="18" t="str">
        <f t="shared" si="1"/>
        <v>4859.881,  4513.265</v>
      </c>
      <c r="J66" s="6" t="s">
        <v>1677</v>
      </c>
      <c r="K66" s="6" t="s">
        <v>168</v>
      </c>
      <c r="L66" s="6" t="s">
        <v>167</v>
      </c>
      <c r="M66" s="11" t="s">
        <v>1226</v>
      </c>
      <c r="N66" s="7" t="str">
        <f t="shared" si="2"/>
        <v>{"name": "Cowry Keltus - Investigations", "map": "Haven", "fCoords": "4423, 2421", "waCoords": "--, --", "leaflet": "4859.881,  4513.265", "pinType": "Service", "mapRef": "Map Ref.: O15 (GN)", "type": "Investigations", "description": ""},</v>
      </c>
    </row>
    <row r="67" spans="1:14" ht="30" x14ac:dyDescent="0.25">
      <c r="A67" s="7" t="s">
        <v>169</v>
      </c>
      <c r="B67" s="7" t="s">
        <v>1187</v>
      </c>
      <c r="C67" s="6">
        <v>6122</v>
      </c>
      <c r="D67" s="6">
        <v>4739</v>
      </c>
      <c r="E67" s="6" t="str">
        <f>IFERROR(VLOOKUP($A67,tWA[],5,FALSE),"--")</f>
        <v>--</v>
      </c>
      <c r="F67" s="6" t="str">
        <f>IFERROR(VLOOKUP($A67,tWA[],6,FALSE),"--")</f>
        <v>--</v>
      </c>
      <c r="G67" s="18" t="s">
        <v>1771</v>
      </c>
      <c r="H67" s="18">
        <f t="shared" si="0"/>
        <v>2494.5740000000001</v>
      </c>
      <c r="I67" s="18" t="str">
        <f t="shared" si="1"/>
        <v>2494.574,  6246.939</v>
      </c>
      <c r="J67" s="6" t="s">
        <v>1677</v>
      </c>
      <c r="K67" s="6" t="s">
        <v>170</v>
      </c>
      <c r="L67" s="6" t="s">
        <v>45</v>
      </c>
      <c r="M67" s="11" t="s">
        <v>1226</v>
      </c>
      <c r="N67" s="7" t="str">
        <f t="shared" si="2"/>
        <v>{"name": "Culvarran Ltd. - Storage", "map": "Haven", "fCoords": "6122, 4739", "waCoords": "--, --", "leaflet": "2494.574,  6246.939", "pinType": "Service", "mapRef": "Map Ref.: U08 (BI)", "type": "Warehouse", "description": ""},</v>
      </c>
    </row>
    <row r="68" spans="1:14" ht="30" x14ac:dyDescent="0.25">
      <c r="A68" s="7" t="s">
        <v>171</v>
      </c>
      <c r="B68" s="7" t="s">
        <v>1187</v>
      </c>
      <c r="C68" s="6">
        <v>3901</v>
      </c>
      <c r="D68" s="6">
        <v>6112</v>
      </c>
      <c r="E68" s="6" t="str">
        <f>IFERROR(VLOOKUP($A68,tWA[],5,FALSE),"--")</f>
        <v>--</v>
      </c>
      <c r="F68" s="6" t="str">
        <f>IFERROR(VLOOKUP($A68,tWA[],6,FALSE),"--")</f>
        <v>--</v>
      </c>
      <c r="G68" s="18" t="s">
        <v>1772</v>
      </c>
      <c r="H68" s="18">
        <f t="shared" ref="H68:H131" si="3">VALUE(_xlfn.TEXTBEFORE(G68,","))- 16.65</f>
        <v>1093.5539999999999</v>
      </c>
      <c r="I68" s="18" t="str">
        <f t="shared" ref="I68:I131" si="4">TEXT(H68, "####.###") &amp; ", " &amp; _xlfn.TEXTAFTER(G68,",")</f>
        <v>1093.554,  3980.612</v>
      </c>
      <c r="J68" s="6" t="s">
        <v>1679</v>
      </c>
      <c r="K68" s="6" t="s">
        <v>173</v>
      </c>
      <c r="L68" s="6" t="s">
        <v>172</v>
      </c>
      <c r="M68" s="11" t="s">
        <v>1226</v>
      </c>
      <c r="N68" s="7" t="str">
        <f t="shared" ref="N68:N131" si="5">"{""name"": """&amp;A68&amp;""", " &amp;
"""map"": """&amp;B68&amp;""", " &amp;
"""fCoords"": """&amp;C68&amp;", "&amp;D68&amp;""", " &amp;
"""waCoords"": """&amp;E68&amp;", "&amp;F68&amp;""", " &amp;
"""leaflet"": """ &amp; I68 &amp; """, " &amp;
"""pinType"": """ &amp; J68 &amp; """, " &amp;
"""mapRef"": """ &amp; K68 &amp; """, " &amp;
"""type"": """ &amp; L68 &amp; """, " &amp;
"""description"": """ &amp; M68 &amp; """},"</f>
        <v>{"name": "Cust Way Crotofiran Mission", "map": "Haven", "fCoords": "3901, 6112", "waCoords": "--, --", "leaflet": "1093.554,  3980.612", "pinType": "Religion", "mapRef": "Map Ref.: M03 (EV)", "type": "Mission", "description": ""},</v>
      </c>
    </row>
    <row r="69" spans="1:14" ht="30" x14ac:dyDescent="0.25">
      <c r="A69" s="7" t="s">
        <v>174</v>
      </c>
      <c r="B69" s="7" t="s">
        <v>1187</v>
      </c>
      <c r="C69" s="6">
        <v>6502</v>
      </c>
      <c r="D69" s="6">
        <v>4772</v>
      </c>
      <c r="E69" s="6" t="str">
        <f>IFERROR(VLOOKUP($A69,tWA[],5,FALSE),"--")</f>
        <v>--</v>
      </c>
      <c r="F69" s="6" t="str">
        <f>IFERROR(VLOOKUP($A69,tWA[],6,FALSE),"--")</f>
        <v>--</v>
      </c>
      <c r="G69" s="18" t="s">
        <v>1773</v>
      </c>
      <c r="H69" s="18">
        <f t="shared" si="3"/>
        <v>2460.9009999999998</v>
      </c>
      <c r="I69" s="18" t="str">
        <f t="shared" si="4"/>
        <v>2460.901,  6634.694</v>
      </c>
      <c r="J69" s="6" t="s">
        <v>1218</v>
      </c>
      <c r="K69" s="6" t="s">
        <v>175</v>
      </c>
      <c r="L69" s="6" t="s">
        <v>105</v>
      </c>
      <c r="M69" s="11" t="s">
        <v>1226</v>
      </c>
      <c r="N69" s="7" t="str">
        <f t="shared" si="5"/>
        <v>{"name": "Dalbert's Apothecary", "map": "Haven", "fCoords": "6502, 4772", "waCoords": "--, --", "leaflet": "2460.901,  6634.694", "pinType": "Shopping", "mapRef": "Map Ref.: V08 (BL)", "type": "Apothecary", "description": ""},</v>
      </c>
    </row>
    <row r="70" spans="1:14" ht="30" x14ac:dyDescent="0.25">
      <c r="A70" s="7" t="s">
        <v>176</v>
      </c>
      <c r="B70" s="7" t="s">
        <v>1187</v>
      </c>
      <c r="C70" s="6">
        <v>4089</v>
      </c>
      <c r="D70" s="6">
        <v>3413</v>
      </c>
      <c r="E70" s="6" t="str">
        <f>IFERROR(VLOOKUP($A70,tWA[],5,FALSE),"--")</f>
        <v>--</v>
      </c>
      <c r="F70" s="6" t="str">
        <f>IFERROR(VLOOKUP($A70,tWA[],6,FALSE),"--")</f>
        <v>--</v>
      </c>
      <c r="G70" s="18" t="s">
        <v>1774</v>
      </c>
      <c r="H70" s="18">
        <f t="shared" si="3"/>
        <v>3847.636</v>
      </c>
      <c r="I70" s="18" t="str">
        <f t="shared" si="4"/>
        <v>3847.636,  4172.449</v>
      </c>
      <c r="J70" s="6" t="s">
        <v>1218</v>
      </c>
      <c r="K70" s="6" t="s">
        <v>178</v>
      </c>
      <c r="L70" s="6" t="s">
        <v>177</v>
      </c>
      <c r="M70" s="11" t="s">
        <v>1226</v>
      </c>
      <c r="N70" s="7" t="str">
        <f t="shared" si="5"/>
        <v>{"name": "Damiano's Dwarven Work", "map": "Haven", "fCoords": "4089, 3413", "waCoords": "--, --", "leaflet": "3847.636,  4172.449", "pinType": "Shopping", "mapRef": "Map Ref.: N12 (RO)", "type": "Toymaker", "description": ""},</v>
      </c>
    </row>
    <row r="71" spans="1:14" ht="30" x14ac:dyDescent="0.25">
      <c r="A71" s="7" t="s">
        <v>179</v>
      </c>
      <c r="B71" s="7" t="s">
        <v>1187</v>
      </c>
      <c r="C71" s="6">
        <v>1264</v>
      </c>
      <c r="D71" s="6">
        <v>3808</v>
      </c>
      <c r="E71" s="6" t="str">
        <f>IFERROR(VLOOKUP($A71,tWA[],5,FALSE),"--")</f>
        <v>--</v>
      </c>
      <c r="F71" s="6" t="str">
        <f>IFERROR(VLOOKUP($A71,tWA[],6,FALSE),"--")</f>
        <v>--</v>
      </c>
      <c r="G71" s="18" t="s">
        <v>1775</v>
      </c>
      <c r="H71" s="18">
        <f t="shared" si="3"/>
        <v>3444.5740000000001</v>
      </c>
      <c r="I71" s="18" t="str">
        <f t="shared" si="4"/>
        <v>3444.574,  1289.796</v>
      </c>
      <c r="J71" s="6" t="s">
        <v>1678</v>
      </c>
      <c r="K71" s="6" t="s">
        <v>180</v>
      </c>
      <c r="L71" s="6" t="s">
        <v>135</v>
      </c>
      <c r="M71" s="11" t="s">
        <v>1226</v>
      </c>
      <c r="N71" s="7" t="str">
        <f t="shared" si="5"/>
        <v>{"name": "Dancing Green", "map": "Haven", "fCoords": "1264, 3808", "waCoords": "--, --", "leaflet": "3444.574,  1289.796", "pinType": "Landmark", "mapRef": "Map Ref.: D11 (KV)", "type": "Park", "description": ""},</v>
      </c>
    </row>
    <row r="72" spans="1:14" ht="30" x14ac:dyDescent="0.25">
      <c r="A72" s="7" t="s">
        <v>181</v>
      </c>
      <c r="B72" s="7" t="s">
        <v>1187</v>
      </c>
      <c r="C72" s="6">
        <v>711</v>
      </c>
      <c r="D72" s="6">
        <v>4351</v>
      </c>
      <c r="E72" s="6" t="str">
        <f>IFERROR(VLOOKUP($A72,tWA[],5,FALSE),"--")</f>
        <v>--</v>
      </c>
      <c r="F72" s="6" t="str">
        <f>IFERROR(VLOOKUP($A72,tWA[],6,FALSE),"--")</f>
        <v>--</v>
      </c>
      <c r="G72" s="18" t="s">
        <v>1776</v>
      </c>
      <c r="H72" s="18">
        <f t="shared" si="3"/>
        <v>2890.4929999999999</v>
      </c>
      <c r="I72" s="18" t="str">
        <f t="shared" si="4"/>
        <v>2890.493,  725.51</v>
      </c>
      <c r="J72" s="6" t="s">
        <v>1218</v>
      </c>
      <c r="K72" s="6" t="s">
        <v>183</v>
      </c>
      <c r="L72" s="6" t="s">
        <v>182</v>
      </c>
      <c r="M72" s="11" t="s">
        <v>1226</v>
      </c>
      <c r="N72" s="7" t="str">
        <f t="shared" si="5"/>
        <v>{"name": "Darius and Sons - Saddlers", "map": "Haven", "fCoords": "711, 4351", "waCoords": "--, --", "leaflet": "2890.493,  725.51", "pinType": "Shopping", "mapRef": "Map Ref.: B09 (LN)", "type": "Saddler", "description": ""},</v>
      </c>
    </row>
    <row r="73" spans="1:14" ht="30" x14ac:dyDescent="0.25">
      <c r="A73" s="7" t="s">
        <v>1146</v>
      </c>
      <c r="B73" s="7" t="s">
        <v>1187</v>
      </c>
      <c r="C73" s="6">
        <v>1845</v>
      </c>
      <c r="D73" s="6">
        <v>1411</v>
      </c>
      <c r="E73" s="6" t="str">
        <f>IFERROR(VLOOKUP($A73,tWA[],5,FALSE),"--")</f>
        <v>--</v>
      </c>
      <c r="F73" s="6" t="str">
        <f>IFERROR(VLOOKUP($A73,tWA[],6,FALSE),"--")</f>
        <v>--</v>
      </c>
      <c r="G73" s="18" t="s">
        <v>1777</v>
      </c>
      <c r="H73" s="18">
        <f t="shared" si="3"/>
        <v>5890.4930000000004</v>
      </c>
      <c r="I73" s="18" t="str">
        <f t="shared" si="4"/>
        <v>5890.493,  1882.653</v>
      </c>
      <c r="J73" s="6" t="s">
        <v>70</v>
      </c>
      <c r="K73" s="6" t="s">
        <v>184</v>
      </c>
      <c r="L73" s="6" t="s">
        <v>71</v>
      </c>
      <c r="M73" s="11" t="s">
        <v>1226</v>
      </c>
      <c r="N73" s="7" t="str">
        <f t="shared" si="5"/>
        <v>{"name": "de Kammeron Family Residence", "map": "Haven", "fCoords": "1845, 1411", "waCoords": "--, --", "leaflet": "5890.493,  1882.653", "pinType": "Residence", "mapRef": "Map Ref.: F19 (DA)", "type": "Mansion", "description": ""},</v>
      </c>
    </row>
    <row r="74" spans="1:14" ht="30" x14ac:dyDescent="0.25">
      <c r="A74" s="7" t="s">
        <v>1147</v>
      </c>
      <c r="B74" s="7" t="s">
        <v>1187</v>
      </c>
      <c r="C74" s="6">
        <v>2751</v>
      </c>
      <c r="D74" s="6">
        <v>1552</v>
      </c>
      <c r="E74" s="6" t="str">
        <f>IFERROR(VLOOKUP($A74,tWA[],5,FALSE),"--")</f>
        <v>--</v>
      </c>
      <c r="F74" s="6" t="str">
        <f>IFERROR(VLOOKUP($A74,tWA[],6,FALSE),"--")</f>
        <v>--</v>
      </c>
      <c r="G74" s="18" t="s">
        <v>1778</v>
      </c>
      <c r="H74" s="18">
        <f t="shared" si="3"/>
        <v>5746.6150000000007</v>
      </c>
      <c r="I74" s="18" t="str">
        <f t="shared" si="4"/>
        <v>5746.615,  2807.143</v>
      </c>
      <c r="J74" s="6" t="s">
        <v>70</v>
      </c>
      <c r="K74" s="6" t="s">
        <v>185</v>
      </c>
      <c r="L74" s="6" t="s">
        <v>71</v>
      </c>
      <c r="M74" s="11" t="s">
        <v>1226</v>
      </c>
      <c r="N74" s="7" t="str">
        <f t="shared" si="5"/>
        <v>{"name": "de la Riis Family Residence", "map": "Haven", "fCoords": "2751, 1552", "waCoords": "--, --", "leaflet": "5746.615,  2807.143", "pinType": "Residence", "mapRef": "Map Ref.: I18 (CU)", "type": "Mansion", "description": ""},</v>
      </c>
    </row>
    <row r="75" spans="1:14" ht="30" x14ac:dyDescent="0.25">
      <c r="A75" s="7" t="s">
        <v>186</v>
      </c>
      <c r="B75" s="7" t="s">
        <v>1187</v>
      </c>
      <c r="C75" s="6">
        <v>1793</v>
      </c>
      <c r="D75" s="6">
        <v>5055</v>
      </c>
      <c r="E75" s="6" t="str">
        <f>IFERROR(VLOOKUP($A75,tWA[],5,FALSE),"--")</f>
        <v>--</v>
      </c>
      <c r="F75" s="6" t="str">
        <f>IFERROR(VLOOKUP($A75,tWA[],6,FALSE),"--")</f>
        <v>--</v>
      </c>
      <c r="G75" s="18" t="s">
        <v>1779</v>
      </c>
      <c r="H75" s="18">
        <f t="shared" si="3"/>
        <v>2172.1259999999997</v>
      </c>
      <c r="I75" s="18" t="str">
        <f t="shared" si="4"/>
        <v>2172.126,  1829.592</v>
      </c>
      <c r="J75" s="6" t="s">
        <v>1218</v>
      </c>
      <c r="K75" s="6" t="s">
        <v>188</v>
      </c>
      <c r="L75" s="6" t="s">
        <v>187</v>
      </c>
      <c r="M75" s="11" t="s">
        <v>1226</v>
      </c>
      <c r="N75" s="7" t="str">
        <f t="shared" si="5"/>
        <v>{"name": "Delmarva's Fine Eggs and Poultry", "map": "Haven", "fCoords": "1793, 5055", "waCoords": "--, --", "leaflet": "2172.126,  1829.592", "pinType": "Shopping", "mapRef": "Map Ref.: F07 (QY)", "type": "Poultry", "description": ""},</v>
      </c>
    </row>
    <row r="76" spans="1:14" ht="30" x14ac:dyDescent="0.25">
      <c r="A76" s="7" t="s">
        <v>189</v>
      </c>
      <c r="B76" s="7" t="s">
        <v>1187</v>
      </c>
      <c r="C76" s="6">
        <v>6313</v>
      </c>
      <c r="D76" s="6">
        <v>4831</v>
      </c>
      <c r="E76" s="6" t="str">
        <f>IFERROR(VLOOKUP($A76,tWA[],5,FALSE),"--")</f>
        <v>--</v>
      </c>
      <c r="F76" s="6" t="str">
        <f>IFERROR(VLOOKUP($A76,tWA[],6,FALSE),"--")</f>
        <v>--</v>
      </c>
      <c r="G76" s="18" t="s">
        <v>1780</v>
      </c>
      <c r="H76" s="18">
        <f t="shared" si="3"/>
        <v>2400.6970000000001</v>
      </c>
      <c r="I76" s="18" t="str">
        <f t="shared" si="4"/>
        <v>2400.697,  6441.837</v>
      </c>
      <c r="J76" s="6" t="s">
        <v>1677</v>
      </c>
      <c r="K76" s="6" t="s">
        <v>190</v>
      </c>
      <c r="L76" s="6" t="s">
        <v>45</v>
      </c>
      <c r="M76" s="11" t="s">
        <v>1226</v>
      </c>
      <c r="N76" s="7" t="str">
        <f t="shared" si="5"/>
        <v>{"name": "D'Lormaii Warehouses", "map": "Haven", "fCoords": "6313, 4831", "waCoords": "--, --", "leaflet": "2400.697,  6441.837", "pinType": "Service", "mapRef": "Map Ref.: U07 (BQ)", "type": "Warehouse", "description": ""},</v>
      </c>
    </row>
    <row r="77" spans="1:14" ht="30" x14ac:dyDescent="0.25">
      <c r="A77" s="7" t="s">
        <v>191</v>
      </c>
      <c r="B77" s="7" t="s">
        <v>1187</v>
      </c>
      <c r="C77" s="6">
        <v>6507</v>
      </c>
      <c r="D77" s="6">
        <v>5496</v>
      </c>
      <c r="E77" s="6" t="str">
        <f>IFERROR(VLOOKUP($A77,tWA[],5,FALSE),"--")</f>
        <v>--</v>
      </c>
      <c r="F77" s="6" t="str">
        <f>IFERROR(VLOOKUP($A77,tWA[],6,FALSE),"--")</f>
        <v>--</v>
      </c>
      <c r="G77" s="18" t="s">
        <v>1781</v>
      </c>
      <c r="H77" s="18">
        <f t="shared" si="3"/>
        <v>1722.126</v>
      </c>
      <c r="I77" s="18" t="str">
        <f t="shared" si="4"/>
        <v>1722.126,  6639.796</v>
      </c>
      <c r="J77" s="6" t="s">
        <v>1677</v>
      </c>
      <c r="K77" s="6" t="s">
        <v>192</v>
      </c>
      <c r="L77" s="6" t="s">
        <v>45</v>
      </c>
      <c r="M77" s="11" t="s">
        <v>1226</v>
      </c>
      <c r="N77" s="7" t="str">
        <f t="shared" si="5"/>
        <v>{"name": "Dockside Warehouse Services", "map": "Haven", "fCoords": "6507, 5496", "waCoords": "--, --", "leaflet": "1722.126,  6639.796", "pinType": "Service", "mapRef": "Map Ref.: V05 (BB)", "type": "Warehouse", "description": ""},</v>
      </c>
    </row>
    <row r="78" spans="1:14" ht="30" x14ac:dyDescent="0.25">
      <c r="A78" s="7" t="s">
        <v>193</v>
      </c>
      <c r="B78" s="7" t="s">
        <v>1187</v>
      </c>
      <c r="C78" s="6">
        <v>3430</v>
      </c>
      <c r="D78" s="6">
        <v>4842</v>
      </c>
      <c r="E78" s="6" t="str">
        <f>IFERROR(VLOOKUP($A78,tWA[],5,FALSE),"--")</f>
        <v>--</v>
      </c>
      <c r="F78" s="6" t="str">
        <f>IFERROR(VLOOKUP($A78,tWA[],6,FALSE),"--")</f>
        <v>--</v>
      </c>
      <c r="G78" s="18" t="s">
        <v>1782</v>
      </c>
      <c r="H78" s="18">
        <f t="shared" si="3"/>
        <v>2389.4719999999998</v>
      </c>
      <c r="I78" s="18" t="str">
        <f t="shared" si="4"/>
        <v>2389.472,  3500.</v>
      </c>
      <c r="J78" s="6" t="s">
        <v>1218</v>
      </c>
      <c r="K78" s="6" t="s">
        <v>194</v>
      </c>
      <c r="L78" s="6" t="s">
        <v>140</v>
      </c>
      <c r="M78" s="11" t="s">
        <v>1226</v>
      </c>
      <c r="N78" s="7" t="str">
        <f t="shared" si="5"/>
        <v>{"name": "Dortmund's Furniture Compound", "map": "Haven", "fCoords": "3430, 4842", "waCoords": "--, --", "leaflet": "2389.472,  3500.", "pinType": "Shopping", "mapRef": "Map Ref.: K07 (OJ)", "type": "Carpenter", "description": ""},</v>
      </c>
    </row>
    <row r="79" spans="1:14" ht="30" x14ac:dyDescent="0.25">
      <c r="A79" s="7" t="s">
        <v>195</v>
      </c>
      <c r="B79" s="7" t="s">
        <v>1187</v>
      </c>
      <c r="C79" s="6">
        <v>3969</v>
      </c>
      <c r="D79" s="6">
        <v>6021</v>
      </c>
      <c r="E79" s="6" t="str">
        <f>IFERROR(VLOOKUP($A79,tWA[],5,FALSE),"--")</f>
        <v>--</v>
      </c>
      <c r="F79" s="6" t="str">
        <f>IFERROR(VLOOKUP($A79,tWA[],6,FALSE),"--")</f>
        <v>--</v>
      </c>
      <c r="G79" s="18" t="s">
        <v>1783</v>
      </c>
      <c r="H79" s="18">
        <f t="shared" si="3"/>
        <v>1186.4109999999998</v>
      </c>
      <c r="I79" s="18" t="str">
        <f t="shared" si="4"/>
        <v>1186.411,  4050.</v>
      </c>
      <c r="J79" s="6" t="s">
        <v>22</v>
      </c>
      <c r="K79" s="6" t="s">
        <v>196</v>
      </c>
      <c r="L79" s="6" t="s">
        <v>22</v>
      </c>
      <c r="M79" s="11" t="s">
        <v>1226</v>
      </c>
      <c r="N79" s="7" t="str">
        <f t="shared" si="5"/>
        <v>{"name": "Dradd Plen-or - Healer's House", "map": "Haven", "fCoords": "3969, 6021", "waCoords": "--, --", "leaflet": "1186.411,  4050.", "pinType": "Medical", "mapRef": "Map Ref.: M03 (FN)", "type": "Medical", "description": ""},</v>
      </c>
    </row>
    <row r="80" spans="1:14" ht="30" x14ac:dyDescent="0.25">
      <c r="A80" s="7" t="s">
        <v>197</v>
      </c>
      <c r="B80" s="7" t="s">
        <v>1187</v>
      </c>
      <c r="C80" s="6">
        <v>2316</v>
      </c>
      <c r="D80" s="6">
        <v>4890</v>
      </c>
      <c r="E80" s="6" t="str">
        <f>IFERROR(VLOOKUP($A80,tWA[],5,FALSE),"--")</f>
        <v>--</v>
      </c>
      <c r="F80" s="6" t="str">
        <f>IFERROR(VLOOKUP($A80,tWA[],6,FALSE),"--")</f>
        <v>--</v>
      </c>
      <c r="G80" s="18" t="s">
        <v>1784</v>
      </c>
      <c r="H80" s="18">
        <f t="shared" si="3"/>
        <v>2340.4929999999999</v>
      </c>
      <c r="I80" s="18" t="str">
        <f t="shared" si="4"/>
        <v>2340.493,  2363.265</v>
      </c>
      <c r="J80" s="6" t="s">
        <v>1218</v>
      </c>
      <c r="K80" s="6" t="s">
        <v>199</v>
      </c>
      <c r="L80" s="6" t="s">
        <v>198</v>
      </c>
      <c r="M80" s="11" t="s">
        <v>1226</v>
      </c>
      <c r="N80" s="7" t="str">
        <f t="shared" si="5"/>
        <v>{"name": "Drum-makers", "map": "Haven", "fCoords": "2316, 4890", "waCoords": "--, --", "leaflet": "2340.493,  2363.265", "pinType": "Shopping", "mapRef": "Map Ref.: H07 (MK)", "type": "Musical Instruments", "description": ""},</v>
      </c>
    </row>
    <row r="81" spans="1:14" ht="30" x14ac:dyDescent="0.25">
      <c r="A81" s="7" t="s">
        <v>200</v>
      </c>
      <c r="B81" s="7" t="s">
        <v>1187</v>
      </c>
      <c r="C81" s="6">
        <v>4739</v>
      </c>
      <c r="D81" s="6">
        <v>4861</v>
      </c>
      <c r="E81" s="6" t="str">
        <f>IFERROR(VLOOKUP($A81,tWA[],5,FALSE),"--")</f>
        <v>--</v>
      </c>
      <c r="F81" s="6" t="str">
        <f>IFERROR(VLOOKUP($A81,tWA[],6,FALSE),"--")</f>
        <v>--</v>
      </c>
      <c r="G81" s="18" t="s">
        <v>1785</v>
      </c>
      <c r="H81" s="18">
        <f t="shared" si="3"/>
        <v>2370.085</v>
      </c>
      <c r="I81" s="18" t="str">
        <f t="shared" si="4"/>
        <v>2370.085,  4835.714</v>
      </c>
      <c r="J81" s="6" t="s">
        <v>1677</v>
      </c>
      <c r="K81" s="6" t="s">
        <v>202</v>
      </c>
      <c r="L81" s="6" t="s">
        <v>201</v>
      </c>
      <c r="M81" s="11" t="s">
        <v>1226</v>
      </c>
      <c r="N81" s="7" t="str">
        <f t="shared" si="5"/>
        <v>{"name": "Dublin Lumber Yards", "map": "Haven", "fCoords": "4739, 4861", "waCoords": "--, --", "leaflet": "2370.085,  4835.714", "pinType": "Service", "mapRef": "Map Ref.: P07 (EQ)", "type": "Construction", "description": ""},</v>
      </c>
    </row>
    <row r="82" spans="1:14" ht="30" x14ac:dyDescent="0.25">
      <c r="A82" s="7" t="s">
        <v>203</v>
      </c>
      <c r="B82" s="7" t="s">
        <v>1187</v>
      </c>
      <c r="C82" s="6">
        <v>6664</v>
      </c>
      <c r="D82" s="6">
        <v>3496</v>
      </c>
      <c r="E82" s="6" t="str">
        <f>IFERROR(VLOOKUP($A82,tWA[],5,FALSE),"--")</f>
        <v>--</v>
      </c>
      <c r="F82" s="6" t="str">
        <f>IFERROR(VLOOKUP($A82,tWA[],6,FALSE),"--")</f>
        <v>--</v>
      </c>
      <c r="G82" s="18" t="s">
        <v>1786</v>
      </c>
      <c r="H82" s="18">
        <f t="shared" si="3"/>
        <v>3762.942</v>
      </c>
      <c r="I82" s="18" t="str">
        <f t="shared" si="4"/>
        <v>3762.942,  6800.</v>
      </c>
      <c r="J82" s="6" t="s">
        <v>70</v>
      </c>
      <c r="K82" s="6" t="s">
        <v>204</v>
      </c>
      <c r="L82" s="6" t="s">
        <v>117</v>
      </c>
      <c r="M82" s="11" t="s">
        <v>1226</v>
      </c>
      <c r="N82" s="7" t="str">
        <f t="shared" si="5"/>
        <v>{"name": "Duhm's Rooms", "map": "Haven", "fCoords": "6664, 3496", "waCoords": "--, --", "leaflet": "3762.942,  6800.", "pinType": "Residence", "mapRef": "Map Ref.: W12 (AD)", "type": "Rooming House", "description": ""},</v>
      </c>
    </row>
    <row r="83" spans="1:14" ht="30" x14ac:dyDescent="0.25">
      <c r="A83" s="7" t="s">
        <v>205</v>
      </c>
      <c r="B83" s="7" t="s">
        <v>1187</v>
      </c>
      <c r="C83" s="6">
        <v>1385</v>
      </c>
      <c r="D83" s="6">
        <v>4978</v>
      </c>
      <c r="E83" s="6" t="str">
        <f>IFERROR(VLOOKUP($A83,tWA[],5,FALSE),"--")</f>
        <v>--</v>
      </c>
      <c r="F83" s="6" t="str">
        <f>IFERROR(VLOOKUP($A83,tWA[],6,FALSE),"--")</f>
        <v>--</v>
      </c>
      <c r="G83" s="18" t="s">
        <v>1787</v>
      </c>
      <c r="H83" s="18">
        <f t="shared" si="3"/>
        <v>2250.6970000000001</v>
      </c>
      <c r="I83" s="18" t="str">
        <f t="shared" si="4"/>
        <v>2250.697,  1413.265</v>
      </c>
      <c r="J83" s="6" t="s">
        <v>1204</v>
      </c>
      <c r="K83" s="6" t="s">
        <v>206</v>
      </c>
      <c r="L83" s="6" t="s">
        <v>68</v>
      </c>
      <c r="M83" s="11" t="s">
        <v>1226</v>
      </c>
      <c r="N83" s="7" t="str">
        <f t="shared" si="5"/>
        <v>{"name": "Dunk's Tavern", "map": "Haven", "fCoords": "1385, 4978", "waCoords": "--, --", "leaflet": "2250.697,  1413.265", "pinType": "Inns &amp; Taverns", "mapRef": "Map Ref.: D07 (OM)", "type": "Tavern", "description": ""},</v>
      </c>
    </row>
    <row r="84" spans="1:14" ht="30" x14ac:dyDescent="0.25">
      <c r="A84" s="7" t="s">
        <v>207</v>
      </c>
      <c r="B84" s="7" t="s">
        <v>1187</v>
      </c>
      <c r="C84" s="6">
        <v>2970</v>
      </c>
      <c r="D84" s="6">
        <v>5886</v>
      </c>
      <c r="E84" s="6" t="str">
        <f>IFERROR(VLOOKUP($A84,tWA[],5,FALSE),"--")</f>
        <v>--</v>
      </c>
      <c r="F84" s="6" t="str">
        <f>IFERROR(VLOOKUP($A84,tWA[],6,FALSE),"--")</f>
        <v>--</v>
      </c>
      <c r="G84" s="18" t="s">
        <v>1788</v>
      </c>
      <c r="H84" s="18">
        <f t="shared" si="3"/>
        <v>1324.1659999999999</v>
      </c>
      <c r="I84" s="18" t="str">
        <f t="shared" si="4"/>
        <v>1324.166,  3030.612</v>
      </c>
      <c r="J84" s="6" t="s">
        <v>1218</v>
      </c>
      <c r="K84" s="6" t="s">
        <v>209</v>
      </c>
      <c r="L84" s="6" t="s">
        <v>208</v>
      </c>
      <c r="M84" s="11" t="s">
        <v>1226</v>
      </c>
      <c r="N84" s="7" t="str">
        <f t="shared" si="5"/>
        <v>{"name": "Dunnigan's Pawnshop", "map": "Haven", "fCoords": "2970, 5886", "waCoords": "--, --", "leaflet": "1324.166,  3030.612", "pinType": "Shopping", "mapRef": "Map Ref.: J04 (QR)", "type": "Pawnbroker", "description": ""},</v>
      </c>
    </row>
    <row r="85" spans="1:14" ht="30" x14ac:dyDescent="0.25">
      <c r="A85" s="7" t="s">
        <v>210</v>
      </c>
      <c r="B85" s="7" t="s">
        <v>1187</v>
      </c>
      <c r="C85" s="6">
        <v>5630</v>
      </c>
      <c r="D85" s="6">
        <v>2551</v>
      </c>
      <c r="E85" s="6" t="str">
        <f>IFERROR(VLOOKUP($A85,tWA[],5,FALSE),"--")</f>
        <v>--</v>
      </c>
      <c r="F85" s="6" t="str">
        <f>IFERROR(VLOOKUP($A85,tWA[],6,FALSE),"--")</f>
        <v>--</v>
      </c>
      <c r="G85" s="18" t="s">
        <v>1789</v>
      </c>
      <c r="H85" s="18">
        <f t="shared" si="3"/>
        <v>4727.2280000000001</v>
      </c>
      <c r="I85" s="18" t="str">
        <f t="shared" si="4"/>
        <v>4727.228,  5744.898</v>
      </c>
      <c r="J85" s="6" t="s">
        <v>1218</v>
      </c>
      <c r="K85" s="6" t="s">
        <v>211</v>
      </c>
      <c r="L85" s="6" t="s">
        <v>42</v>
      </c>
      <c r="M85" s="11" t="s">
        <v>1226</v>
      </c>
      <c r="N85" s="7" t="str">
        <f t="shared" si="5"/>
        <v>{"name": "Dunstan's - Pipe Weed", "map": "Haven", "fCoords": "5630, 2551", "waCoords": "--, --", "leaflet": "4727.228,  5744.898", "pinType": "Shopping", "mapRef": "Map Ref.: S15 (GO)", "type": "Tobacco", "description": ""},</v>
      </c>
    </row>
    <row r="86" spans="1:14" ht="30" x14ac:dyDescent="0.25">
      <c r="A86" s="7" t="s">
        <v>212</v>
      </c>
      <c r="B86" s="7" t="s">
        <v>1187</v>
      </c>
      <c r="C86" s="6">
        <v>4817</v>
      </c>
      <c r="D86" s="6">
        <v>4988</v>
      </c>
      <c r="E86" s="6" t="str">
        <f>IFERROR(VLOOKUP($A86,tWA[],5,FALSE),"--")</f>
        <v>--</v>
      </c>
      <c r="F86" s="6" t="str">
        <f>IFERROR(VLOOKUP($A86,tWA[],6,FALSE),"--")</f>
        <v>--</v>
      </c>
      <c r="G86" s="18" t="s">
        <v>1790</v>
      </c>
      <c r="H86" s="18">
        <f t="shared" si="3"/>
        <v>2240.4929999999999</v>
      </c>
      <c r="I86" s="18" t="str">
        <f t="shared" si="4"/>
        <v>2240.493,  4915.306</v>
      </c>
      <c r="J86" s="6" t="s">
        <v>1218</v>
      </c>
      <c r="K86" s="6" t="s">
        <v>213</v>
      </c>
      <c r="L86" s="6" t="s">
        <v>102</v>
      </c>
      <c r="M86" s="11" t="s">
        <v>1226</v>
      </c>
      <c r="N86" s="7" t="str">
        <f t="shared" si="5"/>
        <v>{"name": "Durbinmeyer's Mill", "map": "Haven", "fCoords": "4817, 4988", "waCoords": "--, --", "leaflet": "2240.493,  4915.306", "pinType": "Shopping", "mapRef": "Map Ref.: P07 (EK)", "type": "Mill", "description": ""},</v>
      </c>
    </row>
    <row r="87" spans="1:14" ht="30" x14ac:dyDescent="0.25">
      <c r="A87" s="7" t="s">
        <v>214</v>
      </c>
      <c r="B87" s="7" t="s">
        <v>1187</v>
      </c>
      <c r="C87" s="6">
        <v>4651</v>
      </c>
      <c r="D87" s="6">
        <v>4682</v>
      </c>
      <c r="E87" s="6" t="str">
        <f>IFERROR(VLOOKUP($A87,tWA[],5,FALSE),"--")</f>
        <v>--</v>
      </c>
      <c r="F87" s="6" t="str">
        <f>IFERROR(VLOOKUP($A87,tWA[],6,FALSE),"--")</f>
        <v>--</v>
      </c>
      <c r="G87" s="18" t="s">
        <v>1791</v>
      </c>
      <c r="H87" s="18">
        <f t="shared" si="3"/>
        <v>2552.7379999999998</v>
      </c>
      <c r="I87" s="18" t="str">
        <f t="shared" si="4"/>
        <v>2552.738,  4745.918</v>
      </c>
      <c r="J87" s="6" t="s">
        <v>1677</v>
      </c>
      <c r="K87" s="6" t="s">
        <v>215</v>
      </c>
      <c r="L87" s="6" t="s">
        <v>201</v>
      </c>
      <c r="M87" s="11" t="s">
        <v>1226</v>
      </c>
      <c r="N87" s="7" t="str">
        <f t="shared" si="5"/>
        <v>{"name": "Durki's Cement Mill", "map": "Haven", "fCoords": "4651, 4682", "waCoords": "--, --", "leaflet": "2552.738,  4745.918", "pinType": "Service", "mapRef": "Map Ref.: P08 (EI)", "type": "Construction", "description": ""},</v>
      </c>
    </row>
    <row r="88" spans="1:14" ht="30" x14ac:dyDescent="0.25">
      <c r="A88" s="7" t="s">
        <v>216</v>
      </c>
      <c r="B88" s="7" t="s">
        <v>1187</v>
      </c>
      <c r="C88" s="6">
        <v>6784</v>
      </c>
      <c r="D88" s="6">
        <v>4972</v>
      </c>
      <c r="E88" s="6" t="str">
        <f>IFERROR(VLOOKUP($A88,tWA[],5,FALSE),"--")</f>
        <v>--</v>
      </c>
      <c r="F88" s="6" t="str">
        <f>IFERROR(VLOOKUP($A88,tWA[],6,FALSE),"--")</f>
        <v>--</v>
      </c>
      <c r="G88" s="18" t="s">
        <v>1792</v>
      </c>
      <c r="H88" s="18">
        <f t="shared" si="3"/>
        <v>2256.819</v>
      </c>
      <c r="I88" s="18" t="str">
        <f t="shared" si="4"/>
        <v>2256.819,  6922.449</v>
      </c>
      <c r="J88" s="6" t="s">
        <v>1218</v>
      </c>
      <c r="K88" s="6" t="s">
        <v>218</v>
      </c>
      <c r="L88" s="6" t="s">
        <v>217</v>
      </c>
      <c r="M88" s="11" t="s">
        <v>1226</v>
      </c>
      <c r="N88" s="7" t="str">
        <f t="shared" si="5"/>
        <v>{"name": "Dynasty Potters", "map": "Haven", "fCoords": "6784, 4972", "waCoords": "--, --", "leaflet": "2256.819,  6922.449", "pinType": "Shopping", "mapRef": "Map Ref.: W07 (BX)", "type": "Potter", "description": ""},</v>
      </c>
    </row>
    <row r="89" spans="1:14" ht="30" x14ac:dyDescent="0.25">
      <c r="A89" s="7" t="s">
        <v>219</v>
      </c>
      <c r="B89" s="7" t="s">
        <v>1187</v>
      </c>
      <c r="C89" s="6">
        <v>1628</v>
      </c>
      <c r="D89" s="6">
        <v>3238</v>
      </c>
      <c r="E89" s="6" t="str">
        <f>IFERROR(VLOOKUP($A89,tWA[],5,FALSE),"--")</f>
        <v>--</v>
      </c>
      <c r="F89" s="6" t="str">
        <f>IFERROR(VLOOKUP($A89,tWA[],6,FALSE),"--")</f>
        <v>--</v>
      </c>
      <c r="G89" s="18" t="s">
        <v>1793</v>
      </c>
      <c r="H89" s="18">
        <f t="shared" si="3"/>
        <v>4026.2069999999999</v>
      </c>
      <c r="I89" s="18" t="str">
        <f t="shared" si="4"/>
        <v>4026.207,  1661.224</v>
      </c>
      <c r="J89" s="6" t="s">
        <v>1218</v>
      </c>
      <c r="K89" s="6" t="s">
        <v>220</v>
      </c>
      <c r="L89" s="6" t="s">
        <v>57</v>
      </c>
      <c r="M89" s="11" t="s">
        <v>1226</v>
      </c>
      <c r="N89" s="7" t="str">
        <f t="shared" si="5"/>
        <v>{"name": "East Street Bakery", "map": "Haven", "fCoords": "1628, 3238", "waCoords": "--, --", "leaflet": "4026.207,  1661.224", "pinType": "Shopping", "mapRef": "Map Ref.: E13 (IW)", "type": "Baker", "description": ""},</v>
      </c>
    </row>
    <row r="90" spans="1:14" ht="30" x14ac:dyDescent="0.25">
      <c r="A90" s="7" t="s">
        <v>221</v>
      </c>
      <c r="B90" s="7" t="s">
        <v>1187</v>
      </c>
      <c r="C90" s="6">
        <v>548</v>
      </c>
      <c r="D90" s="6">
        <v>3210</v>
      </c>
      <c r="E90" s="6" t="str">
        <f>IFERROR(VLOOKUP($A90,tWA[],5,FALSE),"--")</f>
        <v>--</v>
      </c>
      <c r="F90" s="6" t="str">
        <f>IFERROR(VLOOKUP($A90,tWA[],6,FALSE),"--")</f>
        <v>--</v>
      </c>
      <c r="G90" s="18" t="s">
        <v>1794</v>
      </c>
      <c r="H90" s="18">
        <f t="shared" si="3"/>
        <v>4054.779</v>
      </c>
      <c r="I90" s="18" t="str">
        <f t="shared" si="4"/>
        <v>4054.779,  559.184</v>
      </c>
      <c r="J90" s="6" t="s">
        <v>1677</v>
      </c>
      <c r="K90" s="6" t="s">
        <v>223</v>
      </c>
      <c r="L90" s="6" t="s">
        <v>222</v>
      </c>
      <c r="M90" s="11" t="s">
        <v>1226</v>
      </c>
      <c r="N90" s="7" t="str">
        <f t="shared" si="5"/>
        <v>{"name": "Eldri - Weaponsmaster", "map": "Haven", "fCoords": "548, 3210", "waCoords": "--, --", "leaflet": "4054.779,  559.184", "pinType": "Service", "mapRef": "Map Ref.: A13 (HY)", "type": "Training", "description": ""},</v>
      </c>
    </row>
    <row r="91" spans="1:14" ht="30" x14ac:dyDescent="0.25">
      <c r="A91" s="7" t="s">
        <v>224</v>
      </c>
      <c r="B91" s="7" t="s">
        <v>1187</v>
      </c>
      <c r="C91" s="6">
        <v>942</v>
      </c>
      <c r="D91" s="6">
        <v>3634</v>
      </c>
      <c r="E91" s="6" t="str">
        <f>IFERROR(VLOOKUP($A91,tWA[],5,FALSE),"--")</f>
        <v>--</v>
      </c>
      <c r="F91" s="6" t="str">
        <f>IFERROR(VLOOKUP($A91,tWA[],6,FALSE),"--")</f>
        <v>--</v>
      </c>
      <c r="G91" s="18" t="s">
        <v>1795</v>
      </c>
      <c r="H91" s="18">
        <f t="shared" si="3"/>
        <v>3622.1259999999997</v>
      </c>
      <c r="I91" s="18" t="str">
        <f t="shared" si="4"/>
        <v>3622.126,  961.224</v>
      </c>
      <c r="J91" s="6" t="s">
        <v>1218</v>
      </c>
      <c r="K91" s="6" t="s">
        <v>225</v>
      </c>
      <c r="L91" s="6" t="s">
        <v>62</v>
      </c>
      <c r="M91" s="11" t="s">
        <v>1226</v>
      </c>
      <c r="N91" s="7" t="str">
        <f t="shared" si="5"/>
        <v>{"name": "Ellerie Woolgather - seamstress", "map": "Haven", "fCoords": "942, 3634", "waCoords": "--, --", "leaflet": "3622.126,  961.224", "pinType": "Shopping", "mapRef": "Map Ref.: C11 (LJ)", "type": "General Clothing", "description": ""},</v>
      </c>
    </row>
    <row r="92" spans="1:14" ht="30" x14ac:dyDescent="0.25">
      <c r="A92" s="7" t="s">
        <v>226</v>
      </c>
      <c r="B92" s="7" t="s">
        <v>1187</v>
      </c>
      <c r="C92" s="6">
        <v>2320</v>
      </c>
      <c r="D92" s="6">
        <v>1040</v>
      </c>
      <c r="E92" s="6" t="str">
        <f>IFERROR(VLOOKUP($A92,tWA[],5,FALSE),"--")</f>
        <v>--</v>
      </c>
      <c r="F92" s="6" t="str">
        <f>IFERROR(VLOOKUP($A92,tWA[],6,FALSE),"--")</f>
        <v>--</v>
      </c>
      <c r="G92" s="18" t="s">
        <v>1796</v>
      </c>
      <c r="H92" s="18">
        <f t="shared" si="3"/>
        <v>6269.0640000000003</v>
      </c>
      <c r="I92" s="18" t="str">
        <f t="shared" si="4"/>
        <v>6269.064,  2367.347</v>
      </c>
      <c r="J92" s="6" t="s">
        <v>1218</v>
      </c>
      <c r="K92" s="6" t="s">
        <v>227</v>
      </c>
      <c r="L92" s="6" t="s">
        <v>84</v>
      </c>
      <c r="M92" s="11" t="s">
        <v>1226</v>
      </c>
      <c r="N92" s="7" t="str">
        <f t="shared" si="5"/>
        <v>{"name": "Elsi Klukoo - Watchmaker", "map": "Haven", "fCoords": "2320, 1040", "waCoords": "--, --", "leaflet": "6269.064,  2367.347", "pinType": "Shopping", "mapRef": "Map Ref.: H20 (CR)", "type": "Timepieces", "description": ""},</v>
      </c>
    </row>
    <row r="93" spans="1:14" ht="30" x14ac:dyDescent="0.25">
      <c r="A93" s="7" t="s">
        <v>228</v>
      </c>
      <c r="B93" s="7" t="s">
        <v>1187</v>
      </c>
      <c r="C93" s="6">
        <v>2121</v>
      </c>
      <c r="D93" s="6">
        <v>4027</v>
      </c>
      <c r="E93" s="6" t="str">
        <f>IFERROR(VLOOKUP($A93,tWA[],5,FALSE),"--")</f>
        <v>--</v>
      </c>
      <c r="F93" s="6" t="str">
        <f>IFERROR(VLOOKUP($A93,tWA[],6,FALSE),"--")</f>
        <v>--</v>
      </c>
      <c r="G93" s="18" t="s">
        <v>1797</v>
      </c>
      <c r="H93" s="18">
        <f t="shared" si="3"/>
        <v>3221.105</v>
      </c>
      <c r="I93" s="18" t="str">
        <f t="shared" si="4"/>
        <v>3221.105,  2164.286</v>
      </c>
      <c r="J93" s="6" t="s">
        <v>1218</v>
      </c>
      <c r="K93" s="6" t="s">
        <v>230</v>
      </c>
      <c r="L93" s="6" t="s">
        <v>229</v>
      </c>
      <c r="M93" s="11" t="s">
        <v>1226</v>
      </c>
      <c r="N93" s="7" t="str">
        <f t="shared" si="5"/>
        <v>{"name": "Elven Bowyer", "map": "Haven", "fCoords": "2121, 4027", "waCoords": "--, --", "leaflet": "3221.105,  2164.286", "pinType": "Shopping", "mapRef": "Map Ref.: G10 (JX)", "type": "Weapons", "description": ""},</v>
      </c>
    </row>
    <row r="94" spans="1:14" ht="30" x14ac:dyDescent="0.25">
      <c r="A94" s="7" t="s">
        <v>231</v>
      </c>
      <c r="B94" s="7" t="s">
        <v>1187</v>
      </c>
      <c r="C94" s="6">
        <v>1212</v>
      </c>
      <c r="D94" s="6">
        <v>3749</v>
      </c>
      <c r="E94" s="6" t="str">
        <f>IFERROR(VLOOKUP($A94,tWA[],5,FALSE),"--")</f>
        <v>--</v>
      </c>
      <c r="F94" s="6" t="str">
        <f>IFERROR(VLOOKUP($A94,tWA[],6,FALSE),"--")</f>
        <v>--</v>
      </c>
      <c r="G94" s="18" t="s">
        <v>1798</v>
      </c>
      <c r="H94" s="18">
        <f t="shared" si="3"/>
        <v>3504.779</v>
      </c>
      <c r="I94" s="18" t="str">
        <f t="shared" si="4"/>
        <v>3504.779,  1236.735</v>
      </c>
      <c r="J94" s="6" t="s">
        <v>1218</v>
      </c>
      <c r="K94" s="6" t="s">
        <v>232</v>
      </c>
      <c r="L94" s="6" t="s">
        <v>25</v>
      </c>
      <c r="M94" s="11" t="s">
        <v>1226</v>
      </c>
      <c r="N94" s="7" t="str">
        <f t="shared" si="5"/>
        <v>{"name": "Elvish Herbs and Spices", "map": "Haven", "fCoords": "1212, 3749", "waCoords": "--, --", "leaflet": "3504.779,  1236.735", "pinType": "Shopping", "mapRef": "Map Ref.: D11 (LA)", "type": "Spices", "description": ""},</v>
      </c>
    </row>
    <row r="95" spans="1:14" ht="30" x14ac:dyDescent="0.25">
      <c r="A95" s="7" t="s">
        <v>233</v>
      </c>
      <c r="B95" s="7" t="s">
        <v>1187</v>
      </c>
      <c r="C95" s="6">
        <v>3631</v>
      </c>
      <c r="D95" s="6">
        <v>6105</v>
      </c>
      <c r="E95" s="6" t="str">
        <f>IFERROR(VLOOKUP($A95,tWA[],5,FALSE),"--")</f>
        <v>--</v>
      </c>
      <c r="F95" s="6" t="str">
        <f>IFERROR(VLOOKUP($A95,tWA[],6,FALSE),"--")</f>
        <v>--</v>
      </c>
      <c r="G95" s="18" t="s">
        <v>1799</v>
      </c>
      <c r="H95" s="18">
        <f t="shared" si="3"/>
        <v>1100.6969999999999</v>
      </c>
      <c r="I95" s="18" t="str">
        <f t="shared" si="4"/>
        <v>1100.697,  3705.102</v>
      </c>
      <c r="J95" s="6" t="s">
        <v>1218</v>
      </c>
      <c r="K95" s="6" t="s">
        <v>235</v>
      </c>
      <c r="L95" s="6" t="s">
        <v>234</v>
      </c>
      <c r="M95" s="11" t="s">
        <v>1226</v>
      </c>
      <c r="N95" s="7" t="str">
        <f t="shared" si="5"/>
        <v>{"name": "Emmetik - Greengrocer", "map": "Haven", "fCoords": "3631, 6105", "waCoords": "--, --", "leaflet": "1100.697,  3705.102", "pinType": "Shopping", "mapRef": "Map Ref.: L03 (EW)", "type": "Greengrocer", "description": ""},</v>
      </c>
    </row>
    <row r="96" spans="1:14" ht="30" x14ac:dyDescent="0.25">
      <c r="A96" s="7" t="s">
        <v>1148</v>
      </c>
      <c r="B96" s="7" t="s">
        <v>1187</v>
      </c>
      <c r="C96" s="6">
        <v>2273</v>
      </c>
      <c r="D96" s="6">
        <v>963</v>
      </c>
      <c r="E96" s="6" t="str">
        <f>IFERROR(VLOOKUP($A96,tWA[],5,FALSE),"--")</f>
        <v>--</v>
      </c>
      <c r="F96" s="6" t="str">
        <f>IFERROR(VLOOKUP($A96,tWA[],6,FALSE),"--")</f>
        <v>--</v>
      </c>
      <c r="G96" s="18" t="s">
        <v>1800</v>
      </c>
      <c r="H96" s="18">
        <f t="shared" si="3"/>
        <v>6347.6360000000004</v>
      </c>
      <c r="I96" s="18" t="str">
        <f t="shared" si="4"/>
        <v>6347.636,  2319.388</v>
      </c>
      <c r="J96" s="6" t="s">
        <v>1218</v>
      </c>
      <c r="K96" s="6" t="s">
        <v>236</v>
      </c>
      <c r="L96" s="6" t="s">
        <v>62</v>
      </c>
      <c r="M96" s="11" t="s">
        <v>1226</v>
      </c>
      <c r="N96" s="7" t="str">
        <f t="shared" si="5"/>
        <v>{"name": "Emperor Clothiers", "map": "Haven", "fCoords": "2273, 963", "waCoords": "--, --", "leaflet": "6347.636,  2319.388", "pinType": "Shopping", "mapRef": "Map Ref.: G20 (CK)", "type": "General Clothing", "description": ""},</v>
      </c>
    </row>
    <row r="97" spans="1:14" ht="30" x14ac:dyDescent="0.25">
      <c r="A97" s="7" t="s">
        <v>237</v>
      </c>
      <c r="B97" s="7" t="s">
        <v>1187</v>
      </c>
      <c r="C97" s="6">
        <v>2322</v>
      </c>
      <c r="D97" s="6">
        <v>4348</v>
      </c>
      <c r="E97" s="6" t="str">
        <f>IFERROR(VLOOKUP($A97,tWA[],5,FALSE),"--")</f>
        <v>--</v>
      </c>
      <c r="F97" s="6" t="str">
        <f>IFERROR(VLOOKUP($A97,tWA[],6,FALSE),"--")</f>
        <v>--</v>
      </c>
      <c r="G97" s="18" t="s">
        <v>1801</v>
      </c>
      <c r="H97" s="18">
        <f t="shared" si="3"/>
        <v>2893.5540000000001</v>
      </c>
      <c r="I97" s="18" t="str">
        <f t="shared" si="4"/>
        <v>2893.554,  2369.388</v>
      </c>
      <c r="J97" s="6" t="s">
        <v>1678</v>
      </c>
      <c r="K97" s="6" t="s">
        <v>239</v>
      </c>
      <c r="L97" s="6" t="s">
        <v>238</v>
      </c>
      <c r="M97" s="11" t="s">
        <v>1226</v>
      </c>
      <c r="N97" s="7" t="str">
        <f t="shared" si="5"/>
        <v>{"name": "Empty Shop - Ferdinand's", "map": "Haven", "fCoords": "2322, 4348", "waCoords": "--, --", "leaflet": "2893.554,  2369.388", "pinType": "Landmark", "mapRef": "Map Ref.: H09 (NR)", "type": "Other Landmark", "description": ""},</v>
      </c>
    </row>
    <row r="98" spans="1:14" ht="30" x14ac:dyDescent="0.25">
      <c r="A98" s="7" t="s">
        <v>240</v>
      </c>
      <c r="B98" s="7" t="s">
        <v>1187</v>
      </c>
      <c r="C98" s="6">
        <v>2412</v>
      </c>
      <c r="D98" s="6">
        <v>4471</v>
      </c>
      <c r="E98" s="6" t="str">
        <f>IFERROR(VLOOKUP($A98,tWA[],5,FALSE),"--")</f>
        <v>--</v>
      </c>
      <c r="F98" s="6" t="str">
        <f>IFERROR(VLOOKUP($A98,tWA[],6,FALSE),"--")</f>
        <v>--</v>
      </c>
      <c r="G98" s="18" t="s">
        <v>1802</v>
      </c>
      <c r="H98" s="18">
        <f t="shared" si="3"/>
        <v>2768.0439999999999</v>
      </c>
      <c r="I98" s="18" t="str">
        <f t="shared" si="4"/>
        <v>2768.044,  2461.224</v>
      </c>
      <c r="J98" s="6" t="s">
        <v>1218</v>
      </c>
      <c r="K98" s="6" t="s">
        <v>242</v>
      </c>
      <c r="L98" s="6" t="s">
        <v>241</v>
      </c>
      <c r="M98" s="11" t="s">
        <v>1226</v>
      </c>
      <c r="N98" s="7" t="str">
        <f t="shared" si="5"/>
        <v>{"name": "Enchantments Ltd.", "map": "Haven", "fCoords": "2412, 4471", "waCoords": "--, --", "leaflet": "2768.044,  2461.224", "pinType": "Shopping", "mapRef": "Map Ref.: H09 (NU)", "type": "Magic", "description": ""},</v>
      </c>
    </row>
    <row r="99" spans="1:14" ht="30" x14ac:dyDescent="0.25">
      <c r="A99" s="7" t="s">
        <v>243</v>
      </c>
      <c r="B99" s="7" t="s">
        <v>1187</v>
      </c>
      <c r="C99" s="6">
        <v>3900</v>
      </c>
      <c r="D99" s="6">
        <v>5065</v>
      </c>
      <c r="E99" s="6" t="str">
        <f>IFERROR(VLOOKUP($A99,tWA[],5,FALSE),"--")</f>
        <v>--</v>
      </c>
      <c r="F99" s="6" t="str">
        <f>IFERROR(VLOOKUP($A99,tWA[],6,FALSE),"--")</f>
        <v>--</v>
      </c>
      <c r="G99" s="18" t="s">
        <v>1803</v>
      </c>
      <c r="H99" s="18">
        <f t="shared" si="3"/>
        <v>2161.9209999999998</v>
      </c>
      <c r="I99" s="18" t="str">
        <f t="shared" si="4"/>
        <v>2161.921,  3979.592</v>
      </c>
      <c r="J99" s="6" t="s">
        <v>1218</v>
      </c>
      <c r="K99" s="6" t="s">
        <v>245</v>
      </c>
      <c r="L99" s="6" t="s">
        <v>244</v>
      </c>
      <c r="M99" s="11" t="s">
        <v>1226</v>
      </c>
      <c r="N99" s="7" t="str">
        <f t="shared" si="5"/>
        <v>{"name": "Eng's Livery and Smithy", "map": "Haven", "fCoords": "3900, 5065", "waCoords": "--, --", "leaflet": "2161.921,  3979.592", "pinType": "Shopping", "mapRef": "Map Ref.: M07 (DP)", "type": "Livery", "description": ""},</v>
      </c>
    </row>
    <row r="100" spans="1:14" ht="30" x14ac:dyDescent="0.25">
      <c r="A100" s="7" t="s">
        <v>246</v>
      </c>
      <c r="B100" s="7" t="s">
        <v>1187</v>
      </c>
      <c r="C100" s="6">
        <v>2192</v>
      </c>
      <c r="D100" s="6">
        <v>4272</v>
      </c>
      <c r="E100" s="6" t="str">
        <f>IFERROR(VLOOKUP($A100,tWA[],5,FALSE),"--")</f>
        <v>--</v>
      </c>
      <c r="F100" s="6" t="str">
        <f>IFERROR(VLOOKUP($A100,tWA[],6,FALSE),"--")</f>
        <v>--</v>
      </c>
      <c r="G100" s="18" t="s">
        <v>1804</v>
      </c>
      <c r="H100" s="18">
        <f t="shared" si="3"/>
        <v>2971.105</v>
      </c>
      <c r="I100" s="18" t="str">
        <f t="shared" si="4"/>
        <v>2971.105,  2236.735</v>
      </c>
      <c r="J100" s="6" t="s">
        <v>1218</v>
      </c>
      <c r="K100" s="6" t="s">
        <v>247</v>
      </c>
      <c r="L100" s="6" t="s">
        <v>241</v>
      </c>
      <c r="M100" s="11" t="s">
        <v>1226</v>
      </c>
      <c r="N100" s="7" t="str">
        <f t="shared" si="5"/>
        <v>{"name": "Eye of Newt", "map": "Haven", "fCoords": "2192, 4272", "waCoords": "--, --", "leaflet": "2971.105,  2236.735", "pinType": "Shopping", "mapRef": "Map Ref.: G09 (NH)", "type": "Magic", "description": ""},</v>
      </c>
    </row>
    <row r="101" spans="1:14" ht="30" x14ac:dyDescent="0.25">
      <c r="A101" s="7" t="s">
        <v>1149</v>
      </c>
      <c r="B101" s="7" t="s">
        <v>1187</v>
      </c>
      <c r="C101" s="6">
        <v>1975</v>
      </c>
      <c r="D101" s="6">
        <v>1343</v>
      </c>
      <c r="E101" s="6" t="str">
        <f>IFERROR(VLOOKUP($A101,tWA[],5,FALSE),"--")</f>
        <v>--</v>
      </c>
      <c r="F101" s="6" t="str">
        <f>IFERROR(VLOOKUP($A101,tWA[],6,FALSE),"--")</f>
        <v>--</v>
      </c>
      <c r="G101" s="18" t="s">
        <v>1805</v>
      </c>
      <c r="H101" s="18">
        <f t="shared" si="3"/>
        <v>5959.8810000000003</v>
      </c>
      <c r="I101" s="18" t="str">
        <f t="shared" si="4"/>
        <v>5959.881,  2015.306</v>
      </c>
      <c r="J101" s="6" t="s">
        <v>70</v>
      </c>
      <c r="K101" s="6" t="s">
        <v>248</v>
      </c>
      <c r="L101" s="6" t="s">
        <v>71</v>
      </c>
      <c r="M101" s="11" t="s">
        <v>1226</v>
      </c>
      <c r="N101" s="7" t="str">
        <f t="shared" si="5"/>
        <v>{"name": "Falstaff Family Residence", "map": "Haven", "fCoords": "1975, 1343", "waCoords": "--, --", "leaflet": "5959.881,  2015.306", "pinType": "Residence", "mapRef": "Map Ref.: F19 (DB)", "type": "Mansion", "description": ""},</v>
      </c>
    </row>
    <row r="102" spans="1:14" ht="30" x14ac:dyDescent="0.25">
      <c r="A102" s="7" t="s">
        <v>1135</v>
      </c>
      <c r="B102" s="7" t="s">
        <v>1187</v>
      </c>
      <c r="C102" s="6">
        <v>3825</v>
      </c>
      <c r="D102" s="6">
        <v>6148</v>
      </c>
      <c r="E102" s="6" t="str">
        <f>IFERROR(VLOOKUP($A102,tWA[],5,FALSE),"--")</f>
        <v>--</v>
      </c>
      <c r="F102" s="6" t="str">
        <f>IFERROR(VLOOKUP($A102,tWA[],6,FALSE),"--")</f>
        <v>--</v>
      </c>
      <c r="G102" s="18" t="s">
        <v>1806</v>
      </c>
      <c r="H102" s="18">
        <f t="shared" si="3"/>
        <v>1056.819</v>
      </c>
      <c r="I102" s="18" t="str">
        <f t="shared" si="4"/>
        <v>1056.819,  3903.061</v>
      </c>
      <c r="J102" s="6" t="s">
        <v>1218</v>
      </c>
      <c r="K102" s="6" t="s">
        <v>249</v>
      </c>
      <c r="L102" s="6" t="s">
        <v>229</v>
      </c>
      <c r="M102" s="11" t="s">
        <v>1226</v>
      </c>
      <c r="N102" s="7" t="str">
        <f t="shared" si="5"/>
        <v>{"name": "Fandral's Weapon Shop", "map": "Haven", "fCoords": "3825, 6148", "waCoords": "--, --", "leaflet": "1056.819,  3903.061", "pinType": "Shopping", "mapRef": "Map Ref.: M03 (FF)", "type": "Weapons", "description": ""},</v>
      </c>
    </row>
    <row r="103" spans="1:14" ht="30" x14ac:dyDescent="0.25">
      <c r="A103" s="7" t="s">
        <v>250</v>
      </c>
      <c r="B103" s="7" t="s">
        <v>1187</v>
      </c>
      <c r="C103" s="6">
        <v>2219</v>
      </c>
      <c r="D103" s="6">
        <v>4345</v>
      </c>
      <c r="E103" s="6" t="str">
        <f>IFERROR(VLOOKUP($A103,tWA[],5,FALSE),"--")</f>
        <v>--</v>
      </c>
      <c r="F103" s="6" t="str">
        <f>IFERROR(VLOOKUP($A103,tWA[],6,FALSE),"--")</f>
        <v>--</v>
      </c>
      <c r="G103" s="18" t="s">
        <v>1807</v>
      </c>
      <c r="H103" s="18">
        <f t="shared" si="3"/>
        <v>2896.6149999999998</v>
      </c>
      <c r="I103" s="18" t="str">
        <f t="shared" si="4"/>
        <v>2896.615,  2264.286</v>
      </c>
      <c r="J103" s="6" t="s">
        <v>1218</v>
      </c>
      <c r="K103" s="6" t="s">
        <v>252</v>
      </c>
      <c r="L103" s="6" t="s">
        <v>251</v>
      </c>
      <c r="M103" s="11" t="s">
        <v>1226</v>
      </c>
      <c r="N103" s="7" t="str">
        <f t="shared" si="5"/>
        <v>{"name": "Farspeakers", "map": "Haven", "fCoords": "2219, 4345", "waCoords": "--, --", "leaflet": "2896.615,  2264.286", "pinType": "Shopping", "mapRef": "Map Ref.: G09 (NE)", "type": "Messages", "description": ""},</v>
      </c>
    </row>
    <row r="104" spans="1:14" ht="30" x14ac:dyDescent="0.25">
      <c r="A104" s="7" t="s">
        <v>253</v>
      </c>
      <c r="B104" s="7" t="s">
        <v>1187</v>
      </c>
      <c r="C104" s="6">
        <v>6854</v>
      </c>
      <c r="D104" s="6">
        <v>4914</v>
      </c>
      <c r="E104" s="6" t="str">
        <f>IFERROR(VLOOKUP($A104,tWA[],5,FALSE),"--")</f>
        <v>--</v>
      </c>
      <c r="F104" s="6" t="str">
        <f>IFERROR(VLOOKUP($A104,tWA[],6,FALSE),"--")</f>
        <v>--</v>
      </c>
      <c r="G104" s="18" t="s">
        <v>1808</v>
      </c>
      <c r="H104" s="18">
        <f t="shared" si="3"/>
        <v>2316.0029999999997</v>
      </c>
      <c r="I104" s="18" t="str">
        <f t="shared" si="4"/>
        <v>2316.003,  6993.878</v>
      </c>
      <c r="J104" s="6" t="s">
        <v>1218</v>
      </c>
      <c r="K104" s="6" t="s">
        <v>255</v>
      </c>
      <c r="L104" s="6" t="s">
        <v>254</v>
      </c>
      <c r="M104" s="11" t="s">
        <v>1226</v>
      </c>
      <c r="N104" s="7" t="str">
        <f t="shared" si="5"/>
        <v>{"name": "Fawset Street Market", "map": "Haven", "fCoords": "6854, 4914", "waCoords": "--, --", "leaflet": "2316.003,  6993.878", "pinType": "Shopping", "mapRef": "Map Ref.: W07 (BU)", "type": "Victualer", "description": ""},</v>
      </c>
    </row>
    <row r="105" spans="1:14" ht="30" x14ac:dyDescent="0.25">
      <c r="A105" s="7" t="s">
        <v>256</v>
      </c>
      <c r="B105" s="7" t="s">
        <v>1187</v>
      </c>
      <c r="C105" s="6">
        <v>1354</v>
      </c>
      <c r="D105" s="6">
        <v>4981</v>
      </c>
      <c r="E105" s="6" t="str">
        <f>IFERROR(VLOOKUP($A105,tWA[],5,FALSE),"--")</f>
        <v>--</v>
      </c>
      <c r="F105" s="6" t="str">
        <f>IFERROR(VLOOKUP($A105,tWA[],6,FALSE),"--")</f>
        <v>--</v>
      </c>
      <c r="G105" s="18" t="s">
        <v>1809</v>
      </c>
      <c r="H105" s="18">
        <f t="shared" si="3"/>
        <v>2247.636</v>
      </c>
      <c r="I105" s="18" t="str">
        <f t="shared" si="4"/>
        <v>2247.636,  1381.633</v>
      </c>
      <c r="J105" s="6" t="s">
        <v>1677</v>
      </c>
      <c r="K105" s="6" t="s">
        <v>257</v>
      </c>
      <c r="L105" s="6" t="s">
        <v>81</v>
      </c>
      <c r="M105" s="11" t="s">
        <v>1226</v>
      </c>
      <c r="N105" s="7" t="str">
        <f t="shared" si="5"/>
        <v>{"name": "Feddy Rhal Courier Service", "map": "Haven", "fCoords": "1354, 4981", "waCoords": "--, --", "leaflet": "2247.636,  1381.633", "pinType": "Service", "mapRef": "Map Ref.: D07 (RC)", "type": "Courier", "description": ""},</v>
      </c>
    </row>
    <row r="106" spans="1:14" ht="30" x14ac:dyDescent="0.25">
      <c r="A106" s="7" t="s">
        <v>258</v>
      </c>
      <c r="B106" s="7" t="s">
        <v>1187</v>
      </c>
      <c r="C106" s="6">
        <v>3513</v>
      </c>
      <c r="D106" s="6">
        <v>3675</v>
      </c>
      <c r="E106" s="6" t="str">
        <f>IFERROR(VLOOKUP($A106,tWA[],5,FALSE),"--")</f>
        <v>--</v>
      </c>
      <c r="F106" s="6" t="str">
        <f>IFERROR(VLOOKUP($A106,tWA[],6,FALSE),"--")</f>
        <v>--</v>
      </c>
      <c r="G106" s="18" t="s">
        <v>1810</v>
      </c>
      <c r="H106" s="18">
        <f t="shared" si="3"/>
        <v>3580.2889999999998</v>
      </c>
      <c r="I106" s="18" t="str">
        <f t="shared" si="4"/>
        <v>3580.289,  3584.694</v>
      </c>
      <c r="J106" s="6" t="s">
        <v>1218</v>
      </c>
      <c r="K106" s="6" t="s">
        <v>259</v>
      </c>
      <c r="L106" s="6" t="s">
        <v>126</v>
      </c>
      <c r="M106" s="11" t="s">
        <v>1226</v>
      </c>
      <c r="N106" s="7" t="str">
        <f t="shared" si="5"/>
        <v>{"name": "Fine Silks and Fabrics", "map": "Haven", "fCoords": "3513, 3675", "waCoords": "--, --", "leaflet": "3580.289,  3584.694", "pinType": "Shopping", "mapRef": "Map Ref.: L11 (JB)", "type": "Textiles", "description": ""},</v>
      </c>
    </row>
    <row r="107" spans="1:14" ht="30" x14ac:dyDescent="0.25">
      <c r="A107" s="7" t="s">
        <v>260</v>
      </c>
      <c r="B107" s="7" t="s">
        <v>1187</v>
      </c>
      <c r="C107" s="6">
        <v>5238</v>
      </c>
      <c r="D107" s="6">
        <v>5947</v>
      </c>
      <c r="E107" s="6" t="str">
        <f>IFERROR(VLOOKUP($A107,tWA[],5,FALSE),"--")</f>
        <v>--</v>
      </c>
      <c r="F107" s="6" t="str">
        <f>IFERROR(VLOOKUP($A107,tWA[],6,FALSE),"--")</f>
        <v>--</v>
      </c>
      <c r="G107" s="18" t="s">
        <v>1811</v>
      </c>
      <c r="H107" s="18">
        <f t="shared" si="3"/>
        <v>1261.9209999999998</v>
      </c>
      <c r="I107" s="18" t="str">
        <f t="shared" si="4"/>
        <v>1261.921,  5344.898</v>
      </c>
      <c r="J107" s="6" t="s">
        <v>1678</v>
      </c>
      <c r="K107" s="6" t="s">
        <v>261</v>
      </c>
      <c r="L107" s="6" t="s">
        <v>238</v>
      </c>
      <c r="M107" s="11" t="s">
        <v>1226</v>
      </c>
      <c r="N107" s="7" t="str">
        <f t="shared" si="5"/>
        <v>{"name": "Fisherman's Cay", "map": "Haven", "fCoords": "5238, 5947", "waCoords": "--, --", "leaflet": "1261.921,  5344.898", "pinType": "Landmark", "mapRef": "Map Ref.: R04 (EO)", "type": "Other Landmark", "description": ""},</v>
      </c>
    </row>
    <row r="108" spans="1:14" ht="30" x14ac:dyDescent="0.25">
      <c r="A108" s="7" t="s">
        <v>262</v>
      </c>
      <c r="B108" s="7" t="s">
        <v>1187</v>
      </c>
      <c r="C108" s="6">
        <v>3783</v>
      </c>
      <c r="D108" s="6">
        <v>6107</v>
      </c>
      <c r="E108" s="6" t="str">
        <f>IFERROR(VLOOKUP($A108,tWA[],5,FALSE),"--")</f>
        <v>--</v>
      </c>
      <c r="F108" s="6" t="str">
        <f>IFERROR(VLOOKUP($A108,tWA[],6,FALSE),"--")</f>
        <v>--</v>
      </c>
      <c r="G108" s="18" t="s">
        <v>1812</v>
      </c>
      <c r="H108" s="18">
        <f t="shared" si="3"/>
        <v>1098.6559999999999</v>
      </c>
      <c r="I108" s="18" t="str">
        <f t="shared" si="4"/>
        <v>1098.656,  3860.204</v>
      </c>
      <c r="J108" s="6" t="s">
        <v>1218</v>
      </c>
      <c r="K108" s="6" t="s">
        <v>263</v>
      </c>
      <c r="L108" s="6" t="s">
        <v>208</v>
      </c>
      <c r="M108" s="11" t="s">
        <v>1226</v>
      </c>
      <c r="N108" s="7" t="str">
        <f t="shared" si="5"/>
        <v>{"name": "Flicker's Pawnshop", "map": "Haven", "fCoords": "3783, 6107", "waCoords": "--, --", "leaflet": "1098.656,  3860.204", "pinType": "Shopping", "mapRef": "Map Ref.: M03 (FB)", "type": "Pawnbroker", "description": ""},</v>
      </c>
    </row>
    <row r="109" spans="1:14" ht="30" x14ac:dyDescent="0.25">
      <c r="A109" s="7" t="s">
        <v>264</v>
      </c>
      <c r="B109" s="7" t="s">
        <v>1187</v>
      </c>
      <c r="C109" s="6">
        <v>2314</v>
      </c>
      <c r="D109" s="6">
        <v>4771</v>
      </c>
      <c r="E109" s="6" t="str">
        <f>IFERROR(VLOOKUP($A109,tWA[],5,FALSE),"--")</f>
        <v>--</v>
      </c>
      <c r="F109" s="6" t="str">
        <f>IFERROR(VLOOKUP($A109,tWA[],6,FALSE),"--")</f>
        <v>--</v>
      </c>
      <c r="G109" s="18" t="s">
        <v>1813</v>
      </c>
      <c r="H109" s="18">
        <f t="shared" si="3"/>
        <v>2461.9209999999998</v>
      </c>
      <c r="I109" s="18" t="str">
        <f t="shared" si="4"/>
        <v>2461.921,  2361.224</v>
      </c>
      <c r="J109" s="6" t="s">
        <v>1218</v>
      </c>
      <c r="K109" s="6" t="s">
        <v>265</v>
      </c>
      <c r="L109" s="6" t="s">
        <v>198</v>
      </c>
      <c r="M109" s="11" t="s">
        <v>1226</v>
      </c>
      <c r="N109" s="7" t="str">
        <f t="shared" si="5"/>
        <v>{"name": "Florina's Flutes", "map": "Haven", "fCoords": "2314, 4771", "waCoords": "--, --", "leaflet": "2461.921,  2361.224", "pinType": "Shopping", "mapRef": "Map Ref.: H08 (MA)", "type": "Musical Instruments", "description": ""},</v>
      </c>
    </row>
    <row r="110" spans="1:14" ht="30" x14ac:dyDescent="0.25">
      <c r="A110" s="7" t="s">
        <v>266</v>
      </c>
      <c r="B110" s="7" t="s">
        <v>1187</v>
      </c>
      <c r="C110" s="6">
        <v>2919</v>
      </c>
      <c r="D110" s="6">
        <v>5577</v>
      </c>
      <c r="E110" s="6" t="str">
        <f>IFERROR(VLOOKUP($A110,tWA[],5,FALSE),"--")</f>
        <v>--</v>
      </c>
      <c r="F110" s="6" t="str">
        <f>IFERROR(VLOOKUP($A110,tWA[],6,FALSE),"--")</f>
        <v>--</v>
      </c>
      <c r="G110" s="18" t="s">
        <v>1814</v>
      </c>
      <c r="H110" s="18">
        <f t="shared" si="3"/>
        <v>1639.472</v>
      </c>
      <c r="I110" s="18" t="str">
        <f t="shared" si="4"/>
        <v>1639.472,  2978.571</v>
      </c>
      <c r="J110" s="6" t="s">
        <v>1678</v>
      </c>
      <c r="K110" s="6" t="s">
        <v>268</v>
      </c>
      <c r="L110" s="6" t="s">
        <v>267</v>
      </c>
      <c r="M110" s="11" t="s">
        <v>1226</v>
      </c>
      <c r="N110" s="7" t="str">
        <f t="shared" si="5"/>
        <v>{"name": "Fountain of Porpidolphus", "map": "Haven", "fCoords": "2919, 5577", "waCoords": "--, --", "leaflet": "1639.472,  2978.571", "pinType": "Landmark", "mapRef": "Map Ref.: J05 (QU)", "type": "Fountain", "description": ""},</v>
      </c>
    </row>
    <row r="111" spans="1:14" ht="30" x14ac:dyDescent="0.25">
      <c r="A111" s="7" t="s">
        <v>269</v>
      </c>
      <c r="B111" s="7" t="s">
        <v>1187</v>
      </c>
      <c r="C111" s="6">
        <v>6756</v>
      </c>
      <c r="D111" s="6">
        <v>4971</v>
      </c>
      <c r="E111" s="6" t="str">
        <f>IFERROR(VLOOKUP($A111,tWA[],5,FALSE),"--")</f>
        <v>--</v>
      </c>
      <c r="F111" s="6" t="str">
        <f>IFERROR(VLOOKUP($A111,tWA[],6,FALSE),"--")</f>
        <v>--</v>
      </c>
      <c r="G111" s="18" t="s">
        <v>1815</v>
      </c>
      <c r="H111" s="18">
        <f t="shared" si="3"/>
        <v>2257.8399999999997</v>
      </c>
      <c r="I111" s="18" t="str">
        <f t="shared" si="4"/>
        <v>2257.84,  6893.878</v>
      </c>
      <c r="J111" s="6" t="s">
        <v>1218</v>
      </c>
      <c r="K111" s="6" t="s">
        <v>271</v>
      </c>
      <c r="L111" s="6" t="s">
        <v>270</v>
      </c>
      <c r="M111" s="11" t="s">
        <v>1226</v>
      </c>
      <c r="N111" s="7" t="str">
        <f t="shared" si="5"/>
        <v>{"name": "Franklin's Odds Bodkins", "map": "Haven", "fCoords": "6756, 4971", "waCoords": "--, --", "leaflet": "2257.84,  6893.878", "pinType": "Shopping", "mapRef": "Map Ref.: W07 (BY)", "type": "Dry Goods", "description": ""},</v>
      </c>
    </row>
    <row r="112" spans="1:14" ht="30" x14ac:dyDescent="0.25">
      <c r="A112" s="7" t="s">
        <v>272</v>
      </c>
      <c r="B112" s="7" t="s">
        <v>1187</v>
      </c>
      <c r="C112" s="6">
        <v>3987</v>
      </c>
      <c r="D112" s="6">
        <v>4514</v>
      </c>
      <c r="E112" s="6" t="str">
        <f>IFERROR(VLOOKUP($A112,tWA[],5,FALSE),"--")</f>
        <v>--</v>
      </c>
      <c r="F112" s="6" t="str">
        <f>IFERROR(VLOOKUP($A112,tWA[],6,FALSE),"--")</f>
        <v>--</v>
      </c>
      <c r="G112" s="18" t="s">
        <v>1816</v>
      </c>
      <c r="H112" s="18">
        <f t="shared" si="3"/>
        <v>2724.1659999999997</v>
      </c>
      <c r="I112" s="18" t="str">
        <f t="shared" si="4"/>
        <v>2724.166,  4068.367</v>
      </c>
      <c r="J112" s="6" t="s">
        <v>1680</v>
      </c>
      <c r="K112" s="6" t="s">
        <v>274</v>
      </c>
      <c r="L112" s="6" t="s">
        <v>273</v>
      </c>
      <c r="M112" s="11" t="s">
        <v>1226</v>
      </c>
      <c r="N112" s="7" t="str">
        <f t="shared" si="5"/>
        <v>{"name": "Free Companies House", "map": "Haven", "fCoords": "3987, 4514", "waCoords": "--, --", "leaflet": "2724.166,  4068.367", "pinType": "Guild", "mapRef": "Map Ref.: M08 (OE)", "type": "Guildhouse", "description": ""},</v>
      </c>
    </row>
    <row r="113" spans="1:14" ht="30" x14ac:dyDescent="0.25">
      <c r="A113" s="7" t="s">
        <v>275</v>
      </c>
      <c r="B113" s="7" t="s">
        <v>1187</v>
      </c>
      <c r="C113" s="6">
        <v>3917</v>
      </c>
      <c r="D113" s="6">
        <v>4802</v>
      </c>
      <c r="E113" s="6" t="str">
        <f>IFERROR(VLOOKUP($A113,tWA[],5,FALSE),"--")</f>
        <v>3928</v>
      </c>
      <c r="F113" s="6" t="str">
        <f>IFERROR(VLOOKUP($A113,tWA[],6,FALSE),"--")</f>
        <v>2376</v>
      </c>
      <c r="G113" s="18" t="s">
        <v>1817</v>
      </c>
      <c r="H113" s="18">
        <f t="shared" si="3"/>
        <v>2430.2889999999998</v>
      </c>
      <c r="I113" s="18" t="str">
        <f t="shared" si="4"/>
        <v>2430.289,  3996.939</v>
      </c>
      <c r="J113" s="6" t="s">
        <v>1199</v>
      </c>
      <c r="K113" s="6" t="s">
        <v>277</v>
      </c>
      <c r="L113" s="6" t="s">
        <v>276</v>
      </c>
      <c r="M113" s="11" t="s">
        <v>1346</v>
      </c>
      <c r="N113" s="7" t="str">
        <f t="shared" si="5"/>
        <v>{"name": "Frod's Theater", "map": "Haven", "fCoords": "3917, 4802", "waCoords": "3928, 2376", "leaflet": "2430.289,  3996.939", "pinType": "Entertainment", "mapRef": "Map Ref.: M07 (ED)", "type": "Theatre", "description": "Best theatre for live performances."},</v>
      </c>
    </row>
    <row r="114" spans="1:14" ht="30" x14ac:dyDescent="0.25">
      <c r="A114" s="7" t="s">
        <v>278</v>
      </c>
      <c r="B114" s="7" t="s">
        <v>1187</v>
      </c>
      <c r="C114" s="6">
        <v>2793</v>
      </c>
      <c r="D114" s="6">
        <v>5598</v>
      </c>
      <c r="E114" s="6" t="str">
        <f>IFERROR(VLOOKUP($A114,tWA[],5,FALSE),"--")</f>
        <v>44</v>
      </c>
      <c r="F114" s="6" t="str">
        <f>IFERROR(VLOOKUP($A114,tWA[],6,FALSE),"--")</f>
        <v>937</v>
      </c>
      <c r="G114" s="18" t="s">
        <v>1818</v>
      </c>
      <c r="H114" s="18">
        <f t="shared" si="3"/>
        <v>1618.0439999999999</v>
      </c>
      <c r="I114" s="18" t="str">
        <f t="shared" si="4"/>
        <v>1618.044,  2850.</v>
      </c>
      <c r="J114" s="6" t="s">
        <v>1218</v>
      </c>
      <c r="K114" s="6" t="s">
        <v>279</v>
      </c>
      <c r="L114" s="6" t="s">
        <v>208</v>
      </c>
      <c r="N114" s="7" t="str">
        <f t="shared" si="5"/>
        <v>{"name": "Frogal's", "map": "Haven", "fCoords": "2793, 5598", "waCoords": "44, 937", "leaflet": "1618.044,  2850.", "pinType": "Shopping", "mapRef": "Map Ref.: I05 (OV)", "type": "Pawnbroker", "description": ""},</v>
      </c>
    </row>
    <row r="115" spans="1:14" ht="30" x14ac:dyDescent="0.25">
      <c r="A115" s="7" t="s">
        <v>280</v>
      </c>
      <c r="B115" s="7" t="s">
        <v>1187</v>
      </c>
      <c r="C115" s="6">
        <v>2050</v>
      </c>
      <c r="D115" s="6">
        <v>6188</v>
      </c>
      <c r="E115" s="6" t="str">
        <f>IFERROR(VLOOKUP($A115,tWA[],5,FALSE),"--")</f>
        <v>--</v>
      </c>
      <c r="F115" s="6" t="str">
        <f>IFERROR(VLOOKUP($A115,tWA[],6,FALSE),"--")</f>
        <v>--</v>
      </c>
      <c r="G115" s="18" t="s">
        <v>1819</v>
      </c>
      <c r="H115" s="18">
        <f t="shared" si="3"/>
        <v>1016.003</v>
      </c>
      <c r="I115" s="18" t="str">
        <f t="shared" si="4"/>
        <v>1016.003,  2091.837</v>
      </c>
      <c r="J115" s="6" t="s">
        <v>1678</v>
      </c>
      <c r="K115" s="6" t="s">
        <v>281</v>
      </c>
      <c r="L115" s="6" t="s">
        <v>238</v>
      </c>
      <c r="M115" s="11" t="s">
        <v>1226</v>
      </c>
      <c r="N115" s="7" t="str">
        <f t="shared" si="5"/>
        <v>{"name": "Gallows Hill", "map": "Haven", "fCoords": "2050, 6188", "waCoords": "--, --", "leaflet": "1016.003,  2091.837", "pinType": "Landmark", "mapRef": "Map Ref.: G03 (TA)", "type": "Other Landmark", "description": ""},</v>
      </c>
    </row>
    <row r="116" spans="1:14" ht="30" x14ac:dyDescent="0.25">
      <c r="A116" s="7" t="s">
        <v>282</v>
      </c>
      <c r="B116" s="7" t="s">
        <v>1187</v>
      </c>
      <c r="C116" s="6">
        <v>2379</v>
      </c>
      <c r="D116" s="6">
        <v>5933</v>
      </c>
      <c r="E116" s="6" t="str">
        <f>IFERROR(VLOOKUP($A116,tWA[],5,FALSE),"--")</f>
        <v>--</v>
      </c>
      <c r="F116" s="6" t="str">
        <f>IFERROR(VLOOKUP($A116,tWA[],6,FALSE),"--")</f>
        <v>--</v>
      </c>
      <c r="G116" s="18" t="s">
        <v>1820</v>
      </c>
      <c r="H116" s="18">
        <f t="shared" si="3"/>
        <v>1276.2069999999999</v>
      </c>
      <c r="I116" s="18" t="str">
        <f t="shared" si="4"/>
        <v>1276.207,  2427.551</v>
      </c>
      <c r="J116" s="6" t="s">
        <v>1204</v>
      </c>
      <c r="K116" s="6" t="s">
        <v>283</v>
      </c>
      <c r="L116" s="6" t="s">
        <v>68</v>
      </c>
      <c r="M116" s="11" t="s">
        <v>1226</v>
      </c>
      <c r="N116" s="7" t="str">
        <f t="shared" si="5"/>
        <v>{"name": "Gallows Hill Tavern", "map": "Haven", "fCoords": "2379, 5933", "waCoords": "--, --", "leaflet": "1276.207,  2427.551", "pinType": "Inns &amp; Taverns", "mapRef": "Map Ref.: H04 (QO)", "type": "Tavern", "description": ""},</v>
      </c>
    </row>
    <row r="117" spans="1:14" ht="30" x14ac:dyDescent="0.25">
      <c r="A117" s="7" t="s">
        <v>284</v>
      </c>
      <c r="B117" s="7" t="s">
        <v>1187</v>
      </c>
      <c r="C117" s="6">
        <v>2106</v>
      </c>
      <c r="D117" s="6">
        <v>3994</v>
      </c>
      <c r="E117" s="6" t="str">
        <f>IFERROR(VLOOKUP($A117,tWA[],5,FALSE),"--")</f>
        <v>--</v>
      </c>
      <c r="F117" s="6" t="str">
        <f>IFERROR(VLOOKUP($A117,tWA[],6,FALSE),"--")</f>
        <v>--</v>
      </c>
      <c r="G117" s="18" t="s">
        <v>1821</v>
      </c>
      <c r="H117" s="18">
        <f t="shared" si="3"/>
        <v>3254.779</v>
      </c>
      <c r="I117" s="18" t="str">
        <f t="shared" si="4"/>
        <v>3254.779,  2148.98</v>
      </c>
      <c r="J117" s="6" t="s">
        <v>1218</v>
      </c>
      <c r="K117" s="6" t="s">
        <v>285</v>
      </c>
      <c r="L117" s="6" t="s">
        <v>270</v>
      </c>
      <c r="M117" s="11" t="s">
        <v>1226</v>
      </c>
      <c r="N117" s="7" t="str">
        <f t="shared" si="5"/>
        <v>{"name": "Gandi's Goods", "map": "Haven", "fCoords": "2106, 3994", "waCoords": "--, --", "leaflet": "3254.779,  2148.98", "pinType": "Shopping", "mapRef": "Map Ref.: G10 (JY)", "type": "Dry Goods", "description": ""},</v>
      </c>
    </row>
    <row r="118" spans="1:14" ht="45" x14ac:dyDescent="0.25">
      <c r="A118" s="7" t="s">
        <v>286</v>
      </c>
      <c r="B118" s="7" t="s">
        <v>1187</v>
      </c>
      <c r="C118" s="6">
        <v>4843</v>
      </c>
      <c r="D118" s="6">
        <v>2143</v>
      </c>
      <c r="E118" s="6" t="str">
        <f>IFERROR(VLOOKUP($A118,tWA[],5,FALSE),"--")</f>
        <v>4820</v>
      </c>
      <c r="F118" s="6" t="str">
        <f>IFERROR(VLOOKUP($A118,tWA[],6,FALSE),"--")</f>
        <v>5016</v>
      </c>
      <c r="G118" s="18" t="s">
        <v>1822</v>
      </c>
      <c r="H118" s="18">
        <f t="shared" si="3"/>
        <v>5143.5540000000001</v>
      </c>
      <c r="I118" s="18" t="str">
        <f t="shared" si="4"/>
        <v>5143.554,  4941.837</v>
      </c>
      <c r="J118" s="6" t="s">
        <v>1204</v>
      </c>
      <c r="K118" s="6" t="s">
        <v>287</v>
      </c>
      <c r="L118" s="6" t="s">
        <v>68</v>
      </c>
      <c r="M118" s="11" t="s">
        <v>1342</v>
      </c>
      <c r="N118" s="7" t="str">
        <f t="shared" si="5"/>
        <v>{"name": "Garduccio's", "map": "Haven", "fCoords": "4843, 2143", "waCoords": "4820, 5016", "leaflet": "5143.554,  4941.837", "pinType": "Inns &amp; Taverns", "mapRef": "Map Ref.: P16 (GB)", "type": "Tavern", "description": "One of the best dining establishments in the city"},</v>
      </c>
    </row>
    <row r="119" spans="1:14" ht="30" x14ac:dyDescent="0.25">
      <c r="A119" s="7" t="s">
        <v>288</v>
      </c>
      <c r="B119" s="7" t="s">
        <v>1187</v>
      </c>
      <c r="C119" s="6">
        <v>6729</v>
      </c>
      <c r="D119" s="6">
        <v>4861</v>
      </c>
      <c r="E119" s="6" t="str">
        <f>IFERROR(VLOOKUP($A119,tWA[],5,FALSE),"--")</f>
        <v>--</v>
      </c>
      <c r="F119" s="6" t="str">
        <f>IFERROR(VLOOKUP($A119,tWA[],6,FALSE),"--")</f>
        <v>--</v>
      </c>
      <c r="G119" s="18" t="s">
        <v>1823</v>
      </c>
      <c r="H119" s="18">
        <f t="shared" si="3"/>
        <v>2370.085</v>
      </c>
      <c r="I119" s="18" t="str">
        <f t="shared" si="4"/>
        <v>2370.085,  6866.327</v>
      </c>
      <c r="J119" s="6" t="s">
        <v>70</v>
      </c>
      <c r="K119" s="6" t="s">
        <v>289</v>
      </c>
      <c r="L119" s="6" t="s">
        <v>117</v>
      </c>
      <c r="M119" s="11" t="s">
        <v>1226</v>
      </c>
      <c r="N119" s="7" t="str">
        <f t="shared" si="5"/>
        <v>{"name": "Geraldine's Rooms", "map": "Haven", "fCoords": "6729, 4861", "waCoords": "--, --", "leaflet": "2370.085,  6866.327", "pinType": "Residence", "mapRef": "Map Ref.: W07 (BT)", "type": "Rooming House", "description": ""},</v>
      </c>
    </row>
    <row r="120" spans="1:14" ht="30" x14ac:dyDescent="0.25">
      <c r="A120" s="7" t="s">
        <v>1122</v>
      </c>
      <c r="B120" s="7" t="s">
        <v>1187</v>
      </c>
      <c r="C120" s="6">
        <v>3550</v>
      </c>
      <c r="D120" s="6">
        <v>1450</v>
      </c>
      <c r="E120" s="6" t="str">
        <f>IFERROR(VLOOKUP($A120,tWA[],5,FALSE),"--")</f>
        <v>--</v>
      </c>
      <c r="F120" s="6" t="str">
        <f>IFERROR(VLOOKUP($A120,tWA[],6,FALSE),"--")</f>
        <v>--</v>
      </c>
      <c r="G120" s="18" t="s">
        <v>1824</v>
      </c>
      <c r="H120" s="18">
        <f t="shared" si="3"/>
        <v>5850.6970000000001</v>
      </c>
      <c r="I120" s="18" t="str">
        <f t="shared" si="4"/>
        <v>5850.697,  3622.449</v>
      </c>
      <c r="J120" s="6" t="s">
        <v>1678</v>
      </c>
      <c r="K120" s="6" t="s">
        <v>1681</v>
      </c>
      <c r="L120" s="6" t="s">
        <v>238</v>
      </c>
      <c r="M120" s="11" t="s">
        <v>1226</v>
      </c>
      <c r="N120" s="7" t="str">
        <f t="shared" si="5"/>
        <v>{"name": "Geronde Family Mausoleum", "map": "Haven", "fCoords": "3550, 1450", "waCoords": "--, --", "leaflet": "5850.697,  3622.449", "pinType": "Landmark", "mapRef": "Map Ref.: L19", "type": "Other Landmark", "description": ""},</v>
      </c>
    </row>
    <row r="121" spans="1:14" ht="30" x14ac:dyDescent="0.25">
      <c r="A121" s="7" t="s">
        <v>290</v>
      </c>
      <c r="B121" s="7" t="s">
        <v>1187</v>
      </c>
      <c r="C121" s="6">
        <v>2800</v>
      </c>
      <c r="D121" s="6">
        <v>850</v>
      </c>
      <c r="E121" s="6" t="str">
        <f>IFERROR(VLOOKUP($A121,tWA[],5,FALSE),"--")</f>
        <v>--</v>
      </c>
      <c r="F121" s="6" t="str">
        <f>IFERROR(VLOOKUP($A121,tWA[],6,FALSE),"--")</f>
        <v>--</v>
      </c>
      <c r="G121" s="18" t="s">
        <v>1825</v>
      </c>
      <c r="H121" s="18">
        <f t="shared" si="3"/>
        <v>6462.942</v>
      </c>
      <c r="I121" s="18" t="str">
        <f t="shared" si="4"/>
        <v>6462.942,  2857.143</v>
      </c>
      <c r="J121" s="6" t="s">
        <v>70</v>
      </c>
      <c r="K121" s="6" t="s">
        <v>291</v>
      </c>
      <c r="L121" s="6" t="s">
        <v>71</v>
      </c>
      <c r="M121" s="11" t="s">
        <v>1226</v>
      </c>
      <c r="N121" s="7" t="str">
        <f t="shared" si="5"/>
        <v>{"name": "Geronde Family Residence", "map": "Haven", "fCoords": "2800, 850", "waCoords": "--, --", "leaflet": "6462.942,  2857.143", "pinType": "Residence", "mapRef": "Map Ref.: I21 (DE)", "type": "Mansion", "description": ""},</v>
      </c>
    </row>
    <row r="122" spans="1:14" ht="30" x14ac:dyDescent="0.25">
      <c r="A122" s="7" t="s">
        <v>1119</v>
      </c>
      <c r="B122" s="7" t="s">
        <v>1187</v>
      </c>
      <c r="C122" s="6">
        <v>2036</v>
      </c>
      <c r="D122" s="6">
        <v>4840</v>
      </c>
      <c r="E122" s="6" t="str">
        <f>IFERROR(VLOOKUP($A122,tWA[],5,FALSE),"--")</f>
        <v>--</v>
      </c>
      <c r="F122" s="6" t="str">
        <f>IFERROR(VLOOKUP($A122,tWA[],6,FALSE),"--")</f>
        <v>--</v>
      </c>
      <c r="G122" s="18" t="s">
        <v>1826</v>
      </c>
      <c r="H122" s="18">
        <f t="shared" si="3"/>
        <v>2391.5129999999999</v>
      </c>
      <c r="I122" s="18" t="str">
        <f t="shared" si="4"/>
        <v>2391.513,  2077.551</v>
      </c>
      <c r="J122" s="6" t="s">
        <v>1199</v>
      </c>
      <c r="K122" s="6" t="s">
        <v>866</v>
      </c>
      <c r="L122" s="6" t="s">
        <v>276</v>
      </c>
      <c r="M122" s="11" t="s">
        <v>1226</v>
      </c>
      <c r="N122" s="7" t="str">
        <f t="shared" si="5"/>
        <v>{"name": "Geronio's Games", "map": "Haven", "fCoords": "2036, 4840", "waCoords": "--, --", "leaflet": "2391.513,  2077.551", "pinType": "Entertainment", "mapRef": "Map Ref.: G07 (MM)", "type": "Theatre", "description": ""},</v>
      </c>
    </row>
    <row r="123" spans="1:14" ht="30" x14ac:dyDescent="0.25">
      <c r="A123" s="7" t="s">
        <v>292</v>
      </c>
      <c r="B123" s="7" t="s">
        <v>1187</v>
      </c>
      <c r="C123" s="6">
        <v>5714</v>
      </c>
      <c r="D123" s="6">
        <v>3455</v>
      </c>
      <c r="E123" s="6" t="str">
        <f>IFERROR(VLOOKUP($A123,tWA[],5,FALSE),"--")</f>
        <v>--</v>
      </c>
      <c r="F123" s="6" t="str">
        <f>IFERROR(VLOOKUP($A123,tWA[],6,FALSE),"--")</f>
        <v>--</v>
      </c>
      <c r="G123" s="18" t="s">
        <v>1827</v>
      </c>
      <c r="H123" s="18">
        <f t="shared" si="3"/>
        <v>3804.779</v>
      </c>
      <c r="I123" s="18" t="str">
        <f t="shared" si="4"/>
        <v>3804.779,  5830.612</v>
      </c>
      <c r="J123" s="6" t="s">
        <v>1218</v>
      </c>
      <c r="K123" s="6" t="s">
        <v>293</v>
      </c>
      <c r="L123" s="6" t="s">
        <v>62</v>
      </c>
      <c r="M123" s="11" t="s">
        <v>1226</v>
      </c>
      <c r="N123" s="7" t="str">
        <f t="shared" si="5"/>
        <v>{"name": "Gip's Clothing", "map": "Haven", "fCoords": "5714, 3455", "waCoords": "--, --", "leaflet": "3804.779,  5830.612", "pinType": "Shopping", "mapRef": "Map Ref.: S12 (AB)", "type": "General Clothing", "description": ""},</v>
      </c>
    </row>
    <row r="124" spans="1:14" ht="30" x14ac:dyDescent="0.25">
      <c r="A124" s="7" t="s">
        <v>294</v>
      </c>
      <c r="B124" s="7" t="s">
        <v>1187</v>
      </c>
      <c r="C124" s="6">
        <v>2406</v>
      </c>
      <c r="D124" s="6">
        <v>1199</v>
      </c>
      <c r="E124" s="6" t="str">
        <f>IFERROR(VLOOKUP($A124,tWA[],5,FALSE),"--")</f>
        <v>--</v>
      </c>
      <c r="F124" s="6" t="str">
        <f>IFERROR(VLOOKUP($A124,tWA[],6,FALSE),"--")</f>
        <v>--</v>
      </c>
      <c r="G124" s="18" t="s">
        <v>1828</v>
      </c>
      <c r="H124" s="18">
        <f t="shared" si="3"/>
        <v>6106.8190000000004</v>
      </c>
      <c r="I124" s="18" t="str">
        <f t="shared" si="4"/>
        <v>6106.819,  2455.102</v>
      </c>
      <c r="J124" s="6" t="s">
        <v>1677</v>
      </c>
      <c r="K124" s="6" t="s">
        <v>295</v>
      </c>
      <c r="L124" s="6" t="s">
        <v>108</v>
      </c>
      <c r="M124" s="11" t="s">
        <v>1226</v>
      </c>
      <c r="N124" s="7" t="str">
        <f t="shared" si="5"/>
        <v>{"name": "Gladshaw's Aviary", "map": "Haven", "fCoords": "2406, 1199", "waCoords": "--, --", "leaflet": "6106.819,  2455.102", "pinType": "Service", "mapRef": "Map Ref.: H19 (CT)", "type": "Animal Trainer", "description": ""},</v>
      </c>
    </row>
    <row r="125" spans="1:14" ht="30" x14ac:dyDescent="0.25">
      <c r="A125" s="7" t="s">
        <v>296</v>
      </c>
      <c r="B125" s="7" t="s">
        <v>1187</v>
      </c>
      <c r="C125" s="6">
        <v>885</v>
      </c>
      <c r="D125" s="6">
        <v>3109</v>
      </c>
      <c r="E125" s="6" t="str">
        <f>IFERROR(VLOOKUP($A125,tWA[],5,FALSE),"--")</f>
        <v>--</v>
      </c>
      <c r="F125" s="6" t="str">
        <f>IFERROR(VLOOKUP($A125,tWA[],6,FALSE),"--")</f>
        <v>--</v>
      </c>
      <c r="G125" s="18" t="s">
        <v>1829</v>
      </c>
      <c r="H125" s="18">
        <f t="shared" si="3"/>
        <v>4157.84</v>
      </c>
      <c r="I125" s="18" t="str">
        <f t="shared" si="4"/>
        <v>4157.84,  903.061</v>
      </c>
      <c r="J125" s="6" t="s">
        <v>1218</v>
      </c>
      <c r="K125" s="6" t="s">
        <v>298</v>
      </c>
      <c r="L125" s="6" t="s">
        <v>297</v>
      </c>
      <c r="M125" s="11" t="s">
        <v>1226</v>
      </c>
      <c r="N125" s="7" t="str">
        <f t="shared" si="5"/>
        <v>{"name": "Golbur - Gem Appraiser", "map": "Haven", "fCoords": "885, 3109", "waCoords": "--, --", "leaflet": "4157.84,  903.061", "pinType": "Shopping", "mapRef": "Map Ref.: C13 (HU)", "type": "Jeweler", "description": ""},</v>
      </c>
    </row>
    <row r="126" spans="1:14" ht="30" x14ac:dyDescent="0.25">
      <c r="A126" s="7" t="s">
        <v>299</v>
      </c>
      <c r="B126" s="7" t="s">
        <v>1187</v>
      </c>
      <c r="C126" s="6">
        <v>5043</v>
      </c>
      <c r="D126" s="6">
        <v>2055</v>
      </c>
      <c r="E126" s="6" t="str">
        <f>IFERROR(VLOOKUP($A126,tWA[],5,FALSE),"--")</f>
        <v>5052</v>
      </c>
      <c r="F126" s="6" t="str">
        <f>IFERROR(VLOOKUP($A126,tWA[],6,FALSE),"--")</f>
        <v>5124</v>
      </c>
      <c r="G126" s="18" t="s">
        <v>1830</v>
      </c>
      <c r="H126" s="18">
        <f t="shared" si="3"/>
        <v>5233.3500000000004</v>
      </c>
      <c r="I126" s="18" t="str">
        <f t="shared" si="4"/>
        <v>5233.35,  5145.918</v>
      </c>
      <c r="J126" s="6" t="s">
        <v>1678</v>
      </c>
      <c r="K126" s="6" t="s">
        <v>300</v>
      </c>
      <c r="L126" s="6" t="s">
        <v>87</v>
      </c>
      <c r="M126" s="11" t="s">
        <v>1368</v>
      </c>
      <c r="N126" s="7" t="str">
        <f t="shared" si="5"/>
        <v>{"name": "Gold Alley", "map": "Haven", "fCoords": "5043, 2055", "waCoords": "5052, 5124", "leaflet": "5233.35,  5145.918", "pinType": "Landmark", "mapRef": "Map Ref.: Q17 (SM)", "type": "Street", "description": "Home to several jewelers &amp; moneylenders"},</v>
      </c>
    </row>
    <row r="127" spans="1:14" ht="30" x14ac:dyDescent="0.25">
      <c r="A127" s="7" t="s">
        <v>301</v>
      </c>
      <c r="B127" s="7" t="s">
        <v>1187</v>
      </c>
      <c r="C127" s="6">
        <v>2213</v>
      </c>
      <c r="D127" s="6">
        <v>998</v>
      </c>
      <c r="E127" s="6" t="str">
        <f>IFERROR(VLOOKUP($A127,tWA[],5,FALSE),"--")</f>
        <v>--</v>
      </c>
      <c r="F127" s="6" t="str">
        <f>IFERROR(VLOOKUP($A127,tWA[],6,FALSE),"--")</f>
        <v>--</v>
      </c>
      <c r="G127" s="18" t="s">
        <v>1831</v>
      </c>
      <c r="H127" s="18">
        <f t="shared" si="3"/>
        <v>6311.9210000000003</v>
      </c>
      <c r="I127" s="18" t="str">
        <f t="shared" si="4"/>
        <v>6311.921,  2258.163</v>
      </c>
      <c r="J127" s="6" t="s">
        <v>1218</v>
      </c>
      <c r="K127" s="6" t="s">
        <v>302</v>
      </c>
      <c r="L127" s="6" t="s">
        <v>254</v>
      </c>
      <c r="M127" s="11" t="s">
        <v>1226</v>
      </c>
      <c r="N127" s="7" t="str">
        <f t="shared" si="5"/>
        <v>{"name": "Goodreau's Market", "map": "Haven", "fCoords": "2213, 998", "waCoords": "--, --", "leaflet": "6311.921,  2258.163", "pinType": "Shopping", "mapRef": "Map Ref.: G20 (CJ)", "type": "Victualer", "description": ""},</v>
      </c>
    </row>
    <row r="128" spans="1:14" ht="30" x14ac:dyDescent="0.25">
      <c r="A128" s="7" t="s">
        <v>303</v>
      </c>
      <c r="B128" s="7" t="s">
        <v>1187</v>
      </c>
      <c r="C128" s="6">
        <v>3004</v>
      </c>
      <c r="D128" s="6">
        <v>5888</v>
      </c>
      <c r="E128" s="6" t="str">
        <f>IFERROR(VLOOKUP($A128,tWA[],5,FALSE),"--")</f>
        <v>--</v>
      </c>
      <c r="F128" s="6" t="str">
        <f>IFERROR(VLOOKUP($A128,tWA[],6,FALSE),"--")</f>
        <v>--</v>
      </c>
      <c r="G128" s="18" t="s">
        <v>1832</v>
      </c>
      <c r="H128" s="18">
        <f t="shared" si="3"/>
        <v>1322.126</v>
      </c>
      <c r="I128" s="18" t="str">
        <f t="shared" si="4"/>
        <v>1322.126,  3065.306</v>
      </c>
      <c r="J128" s="6" t="s">
        <v>1677</v>
      </c>
      <c r="K128" s="6" t="s">
        <v>304</v>
      </c>
      <c r="L128" s="6" t="s">
        <v>222</v>
      </c>
      <c r="M128" s="11" t="s">
        <v>1226</v>
      </c>
      <c r="N128" s="7" t="str">
        <f t="shared" si="5"/>
        <v>{"name": "Grande Salle d'Armes", "map": "Haven", "fCoords": "3004, 5888", "waCoords": "--, --", "leaflet": "1322.126,  3065.306", "pinType": "Service", "mapRef": "Map Ref.: J04 (QQ)", "type": "Training", "description": ""},</v>
      </c>
    </row>
    <row r="129" spans="1:14" ht="30" x14ac:dyDescent="0.25">
      <c r="A129" s="7" t="s">
        <v>305</v>
      </c>
      <c r="B129" s="7" t="s">
        <v>1187</v>
      </c>
      <c r="C129" s="6">
        <v>421</v>
      </c>
      <c r="D129" s="6">
        <v>2891</v>
      </c>
      <c r="E129" s="6" t="str">
        <f>IFERROR(VLOOKUP($A129,tWA[],5,FALSE),"--")</f>
        <v>--</v>
      </c>
      <c r="F129" s="6" t="str">
        <f>IFERROR(VLOOKUP($A129,tWA[],6,FALSE),"--")</f>
        <v>--</v>
      </c>
      <c r="G129" s="18" t="s">
        <v>1833</v>
      </c>
      <c r="H129" s="18">
        <f t="shared" si="3"/>
        <v>4380.2890000000007</v>
      </c>
      <c r="I129" s="18" t="str">
        <f t="shared" si="4"/>
        <v>4380.289,  429.592</v>
      </c>
      <c r="J129" s="6" t="s">
        <v>1218</v>
      </c>
      <c r="K129" s="6" t="s">
        <v>307</v>
      </c>
      <c r="L129" s="6" t="s">
        <v>306</v>
      </c>
      <c r="M129" s="11" t="s">
        <v>1226</v>
      </c>
      <c r="N129" s="7" t="str">
        <f t="shared" si="5"/>
        <v>{"name": "Greataxe Printing", "map": "Haven", "fCoords": "421, 2891", "waCoords": "--, --", "leaflet": "4380.289,  429.592", "pinType": "Shopping", "mapRef": "Map Ref.: A14 (TJ)", "type": "Written Word", "description": ""},</v>
      </c>
    </row>
    <row r="130" spans="1:14" ht="30" x14ac:dyDescent="0.25">
      <c r="A130" s="7" t="s">
        <v>308</v>
      </c>
      <c r="B130" s="7" t="s">
        <v>1187</v>
      </c>
      <c r="C130" s="6">
        <v>2423</v>
      </c>
      <c r="D130" s="6">
        <v>5785</v>
      </c>
      <c r="E130" s="6" t="str">
        <f>IFERROR(VLOOKUP($A130,tWA[],5,FALSE),"--")</f>
        <v>2421</v>
      </c>
      <c r="F130" s="6" t="str">
        <f>IFERROR(VLOOKUP($A130,tWA[],6,FALSE),"--")</f>
        <v>1398</v>
      </c>
      <c r="G130" s="18" t="s">
        <v>1834</v>
      </c>
      <c r="H130" s="18">
        <f t="shared" si="3"/>
        <v>1427.2279999999998</v>
      </c>
      <c r="I130" s="18" t="str">
        <f t="shared" si="4"/>
        <v>1427.228,  2472.449</v>
      </c>
      <c r="J130" s="6" t="s">
        <v>9</v>
      </c>
      <c r="K130" s="6" t="s">
        <v>309</v>
      </c>
      <c r="L130" s="6" t="s">
        <v>9</v>
      </c>
      <c r="M130" s="11" t="s">
        <v>1340</v>
      </c>
      <c r="N130" s="7" t="str">
        <f t="shared" si="5"/>
        <v>{"name": "Grey Halls Station", "map": "Haven", "fCoords": "2423, 5785", "waCoords": "2421, 1398", "leaflet": "1427.228,  2472.449", "pinType": "City Guard", "mapRef": "Map Ref.: H04 (TV)", "type": "City Guard", "description": "A City Watch station."},</v>
      </c>
    </row>
    <row r="131" spans="1:14" ht="30" x14ac:dyDescent="0.25">
      <c r="A131" s="7" t="s">
        <v>310</v>
      </c>
      <c r="B131" s="7" t="s">
        <v>1187</v>
      </c>
      <c r="C131" s="6">
        <v>4280</v>
      </c>
      <c r="D131" s="6">
        <v>6169</v>
      </c>
      <c r="E131" s="6" t="str">
        <f>IFERROR(VLOOKUP($A131,tWA[],5,FALSE),"--")</f>
        <v>--</v>
      </c>
      <c r="F131" s="6" t="str">
        <f>IFERROR(VLOOKUP($A131,tWA[],6,FALSE),"--")</f>
        <v>--</v>
      </c>
      <c r="G131" s="18" t="s">
        <v>1835</v>
      </c>
      <c r="H131" s="18">
        <f t="shared" si="3"/>
        <v>1035.3909999999998</v>
      </c>
      <c r="I131" s="18" t="str">
        <f t="shared" si="4"/>
        <v>1035.391,  4367.347</v>
      </c>
      <c r="J131" s="6" t="s">
        <v>1679</v>
      </c>
      <c r="K131" s="6" t="s">
        <v>311</v>
      </c>
      <c r="L131" s="6" t="s">
        <v>172</v>
      </c>
      <c r="M131" s="11" t="s">
        <v>1226</v>
      </c>
      <c r="N131" s="7" t="str">
        <f t="shared" si="5"/>
        <v>{"name": "Greysoul's Crotofiran Mission", "map": "Haven", "fCoords": "4280, 6169", "waCoords": "--, --", "leaflet": "1035.391,  4367.347", "pinType": "Religion", "mapRef": "Map Ref.: N03 (SJ)", "type": "Mission", "description": ""},</v>
      </c>
    </row>
    <row r="132" spans="1:14" ht="30" x14ac:dyDescent="0.25">
      <c r="A132" s="7" t="s">
        <v>312</v>
      </c>
      <c r="B132" s="7" t="s">
        <v>1187</v>
      </c>
      <c r="C132" s="6">
        <v>2257</v>
      </c>
      <c r="D132" s="6">
        <v>944</v>
      </c>
      <c r="E132" s="6" t="str">
        <f>IFERROR(VLOOKUP($A132,tWA[],5,FALSE),"--")</f>
        <v>--</v>
      </c>
      <c r="F132" s="6" t="str">
        <f>IFERROR(VLOOKUP($A132,tWA[],6,FALSE),"--")</f>
        <v>--</v>
      </c>
      <c r="G132" s="18" t="s">
        <v>1836</v>
      </c>
      <c r="H132" s="18">
        <f t="shared" ref="H132:H195" si="6">VALUE(_xlfn.TEXTBEFORE(G132,","))- 16.65</f>
        <v>6367.0230000000001</v>
      </c>
      <c r="I132" s="18" t="str">
        <f t="shared" ref="I132:I195" si="7">TEXT(H132, "####.###") &amp; ", " &amp; _xlfn.TEXTAFTER(G132,",")</f>
        <v>6367.023,  2303.061</v>
      </c>
      <c r="J132" s="6" t="s">
        <v>1218</v>
      </c>
      <c r="K132" s="6" t="s">
        <v>314</v>
      </c>
      <c r="L132" s="6" t="s">
        <v>313</v>
      </c>
      <c r="M132" s="11" t="s">
        <v>1226</v>
      </c>
      <c r="N132" s="7" t="str">
        <f t="shared" ref="N132:N195" si="8">"{""name"": """&amp;A132&amp;""", " &amp;
"""map"": """&amp;B132&amp;""", " &amp;
"""fCoords"": """&amp;C132&amp;", "&amp;D132&amp;""", " &amp;
"""waCoords"": """&amp;E132&amp;", "&amp;F132&amp;""", " &amp;
"""leaflet"": """ &amp; I132 &amp; """, " &amp;
"""pinType"": """ &amp; J132 &amp; """, " &amp;
"""mapRef"": """ &amp; K132 &amp; """, " &amp;
"""type"": """ &amp; L132 &amp; """, " &amp;
"""description"": """ &amp; M132 &amp; """},"</f>
        <v>{"name": "Groton's Perfumery", "map": "Haven", "fCoords": "2257, 944", "waCoords": "--, --", "leaflet": "6367.023,  2303.061", "pinType": "Shopping", "mapRef": "Map Ref.: G20 (CH)", "type": "Perfumer", "description": ""},</v>
      </c>
    </row>
    <row r="133" spans="1:14" ht="30" x14ac:dyDescent="0.25">
      <c r="A133" s="7" t="s">
        <v>315</v>
      </c>
      <c r="B133" s="7" t="s">
        <v>1187</v>
      </c>
      <c r="C133" s="6">
        <v>4727</v>
      </c>
      <c r="D133" s="6">
        <v>1734</v>
      </c>
      <c r="E133" s="6" t="str">
        <f>IFERROR(VLOOKUP($A133,tWA[],5,FALSE),"--")</f>
        <v>4715</v>
      </c>
      <c r="F133" s="6" t="str">
        <f>IFERROR(VLOOKUP($A133,tWA[],6,FALSE),"--")</f>
        <v>5444</v>
      </c>
      <c r="G133" s="18" t="s">
        <v>1837</v>
      </c>
      <c r="H133" s="18">
        <f t="shared" si="6"/>
        <v>5560.9010000000007</v>
      </c>
      <c r="I133" s="18" t="str">
        <f t="shared" si="7"/>
        <v>5560.901,  4823.469</v>
      </c>
      <c r="J133" s="6" t="s">
        <v>1204</v>
      </c>
      <c r="K133" s="6" t="s">
        <v>316</v>
      </c>
      <c r="L133" s="6" t="s">
        <v>16</v>
      </c>
      <c r="M133" s="11" t="s">
        <v>1363</v>
      </c>
      <c r="N133" s="7" t="str">
        <f t="shared" si="8"/>
        <v>{"name": "Guardian", "map": "Haven", "fCoords": "4727, 1734", "waCoords": "4715, 5444", "leaflet": "5560.901,  4823.469", "pinType": "Inns &amp; Taverns", "mapRef": "Map Ref.: P18 (SB)", "type": "Inn", "description": "One of the more well known inns/taverns in haven"},</v>
      </c>
    </row>
    <row r="134" spans="1:14" ht="45" x14ac:dyDescent="0.25">
      <c r="A134" s="7" t="s">
        <v>317</v>
      </c>
      <c r="B134" s="7" t="s">
        <v>1187</v>
      </c>
      <c r="C134" s="6">
        <v>4016</v>
      </c>
      <c r="D134" s="6">
        <v>2363</v>
      </c>
      <c r="E134" s="6" t="str">
        <f>IFERROR(VLOOKUP($A134,tWA[],5,FALSE),"--")</f>
        <v>4021</v>
      </c>
      <c r="F134" s="6" t="str">
        <f>IFERROR(VLOOKUP($A134,tWA[],6,FALSE),"--")</f>
        <v>4815</v>
      </c>
      <c r="G134" s="18" t="s">
        <v>1838</v>
      </c>
      <c r="H134" s="18">
        <f t="shared" si="6"/>
        <v>4919.0640000000003</v>
      </c>
      <c r="I134" s="18" t="str">
        <f t="shared" si="7"/>
        <v>4919.064,  4097.959</v>
      </c>
      <c r="J134" s="6" t="s">
        <v>1680</v>
      </c>
      <c r="K134" s="6" t="s">
        <v>318</v>
      </c>
      <c r="L134" s="6" t="s">
        <v>273</v>
      </c>
      <c r="M134" s="11" t="s">
        <v>1354</v>
      </c>
      <c r="N134" s="7" t="str">
        <f t="shared" si="8"/>
        <v>{"name": "Guildhall of Drayers", "map": "Haven", "fCoords": "4016, 2363", "waCoords": "4021, 4815", "leaflet": "4919.064,  4097.959", "pinType": "Guild", "mapRef": "Map Ref.: M16 (HD)", "type": "Guildhouse", "description": "This guild's scope includes anything to do with freight and transportation."},</v>
      </c>
    </row>
    <row r="135" spans="1:14" ht="45" x14ac:dyDescent="0.25">
      <c r="A135" s="7" t="s">
        <v>319</v>
      </c>
      <c r="B135" s="7" t="s">
        <v>1187</v>
      </c>
      <c r="C135" s="6">
        <v>2244</v>
      </c>
      <c r="D135" s="6">
        <v>5152</v>
      </c>
      <c r="E135" s="6" t="str">
        <f>IFERROR(VLOOKUP($A135,tWA[],5,FALSE),"--")</f>
        <v>2265</v>
      </c>
      <c r="F135" s="6" t="str">
        <f>IFERROR(VLOOKUP($A135,tWA[],6,FALSE),"--")</f>
        <v>2040</v>
      </c>
      <c r="G135" s="18" t="s">
        <v>1839</v>
      </c>
      <c r="H135" s="18">
        <f t="shared" si="6"/>
        <v>2073.1459999999997</v>
      </c>
      <c r="I135" s="18" t="str">
        <f t="shared" si="7"/>
        <v>2073.146,  2289.796</v>
      </c>
      <c r="J135" s="6" t="s">
        <v>1680</v>
      </c>
      <c r="K135" s="6" t="s">
        <v>320</v>
      </c>
      <c r="L135" s="6" t="s">
        <v>273</v>
      </c>
      <c r="M135" s="11" t="s">
        <v>1355</v>
      </c>
      <c r="N135" s="7" t="str">
        <f t="shared" si="8"/>
        <v>{"name": "Guildhall of Entertainers", "map": "Haven", "fCoords": "2244, 5152", "waCoords": "2265, 2040", "leaflet": "2073.146,  2289.796", "pinType": "Guild", "mapRef": "Map Ref.: G06 (LZ)", "type": "Guildhouse", "description": "This guild includes anyone who provides entertainment in Haven"},</v>
      </c>
    </row>
    <row r="136" spans="1:14" ht="45" x14ac:dyDescent="0.25">
      <c r="A136" s="7" t="s">
        <v>321</v>
      </c>
      <c r="B136" s="7" t="s">
        <v>1187</v>
      </c>
      <c r="C136" s="6">
        <v>4575</v>
      </c>
      <c r="D136" s="6">
        <v>1884</v>
      </c>
      <c r="E136" s="6" t="str">
        <f>IFERROR(VLOOKUP($A136,tWA[],5,FALSE),"--")</f>
        <v>4576</v>
      </c>
      <c r="F136" s="6" t="str">
        <f>IFERROR(VLOOKUP($A136,tWA[],6,FALSE),"--")</f>
        <v>5304</v>
      </c>
      <c r="G136" s="18" t="s">
        <v>1840</v>
      </c>
      <c r="H136" s="18">
        <f t="shared" si="6"/>
        <v>5407.84</v>
      </c>
      <c r="I136" s="18" t="str">
        <f t="shared" si="7"/>
        <v>5407.84,  4668.367</v>
      </c>
      <c r="J136" s="6" t="s">
        <v>1680</v>
      </c>
      <c r="K136" s="6" t="s">
        <v>322</v>
      </c>
      <c r="L136" s="6" t="s">
        <v>273</v>
      </c>
      <c r="M136" s="11" t="s">
        <v>1356</v>
      </c>
      <c r="N136" s="7" t="str">
        <f t="shared" si="8"/>
        <v>{"name": "Guildhall of Erectors", "map": "Haven", "fCoords": "4575, 1884", "waCoords": "4576, 5304", "leaflet": "5407.84,  4668.367", "pinType": "Guild", "mapRef": "Map Ref.: O17 (GZ)", "type": "Guildhouse", "description": "Represents all those involved in the building construction trades."},</v>
      </c>
    </row>
    <row r="137" spans="1:14" ht="45" x14ac:dyDescent="0.25">
      <c r="A137" s="7" t="s">
        <v>323</v>
      </c>
      <c r="B137" s="7" t="s">
        <v>1187</v>
      </c>
      <c r="C137" s="6">
        <v>4254</v>
      </c>
      <c r="D137" s="6">
        <v>2118</v>
      </c>
      <c r="E137" s="6" t="str">
        <f>IFERROR(VLOOKUP($A137,tWA[],5,FALSE),"--")</f>
        <v>4271</v>
      </c>
      <c r="F137" s="6" t="str">
        <f>IFERROR(VLOOKUP($A137,tWA[],6,FALSE),"--")</f>
        <v>5066</v>
      </c>
      <c r="G137" s="18" t="s">
        <v>1841</v>
      </c>
      <c r="H137" s="18">
        <f t="shared" si="6"/>
        <v>5169.0640000000003</v>
      </c>
      <c r="I137" s="18" t="str">
        <f t="shared" si="7"/>
        <v>5169.064,  4340.816</v>
      </c>
      <c r="J137" s="6" t="s">
        <v>1680</v>
      </c>
      <c r="K137" s="6" t="s">
        <v>324</v>
      </c>
      <c r="L137" s="6" t="s">
        <v>273</v>
      </c>
      <c r="M137" s="11" t="s">
        <v>1357</v>
      </c>
      <c r="N137" s="7" t="str">
        <f t="shared" si="8"/>
        <v>{"name": "Guildhall of Provenders", "map": "Haven", "fCoords": "4254, 2118", "waCoords": "4271, 5066", "leaflet": "5169.064,  4340.816", "pinType": "Guild", "mapRef": "Map Ref.: N16 (HC)", "type": "Guildhouse", "description": "The Provenders represents all who provide and sell foodstuffs. Basically everything between the farm and the kitchen. "},</v>
      </c>
    </row>
    <row r="138" spans="1:14" ht="45" x14ac:dyDescent="0.25">
      <c r="A138" s="7" t="s">
        <v>325</v>
      </c>
      <c r="B138" s="7" t="s">
        <v>1187</v>
      </c>
      <c r="C138" s="6">
        <v>4154</v>
      </c>
      <c r="D138" s="6">
        <v>2116</v>
      </c>
      <c r="E138" s="6" t="str">
        <f>IFERROR(VLOOKUP($A138,tWA[],5,FALSE),"--")</f>
        <v>4154</v>
      </c>
      <c r="F138" s="6" t="str">
        <f>IFERROR(VLOOKUP($A138,tWA[],6,FALSE),"--")</f>
        <v>5080</v>
      </c>
      <c r="G138" s="18" t="s">
        <v>1842</v>
      </c>
      <c r="H138" s="18">
        <f t="shared" si="6"/>
        <v>5171.1050000000005</v>
      </c>
      <c r="I138" s="18" t="str">
        <f t="shared" si="7"/>
        <v>5171.105,  4238.776</v>
      </c>
      <c r="J138" s="6" t="s">
        <v>1680</v>
      </c>
      <c r="K138" s="6" t="s">
        <v>326</v>
      </c>
      <c r="L138" s="6" t="s">
        <v>273</v>
      </c>
      <c r="M138" s="11" t="s">
        <v>1201</v>
      </c>
      <c r="N138" s="7" t="str">
        <f t="shared" si="8"/>
        <v>{"name": "Guildhall of the Artisan", "map": "Haven", "fCoords": "4154, 2116", "waCoords": "4154, 5080", "leaflet": "5171.105,  4238.776", "pinType": "Guild", "mapRef": "Map Ref.: N16 (HE)", "type": "Guildhouse", "description": "The guild represents those who make things for their looks or artistic merit rather than for usefulness"},</v>
      </c>
    </row>
    <row r="139" spans="1:14" ht="45" x14ac:dyDescent="0.25">
      <c r="A139" s="7" t="s">
        <v>327</v>
      </c>
      <c r="B139" s="7" t="s">
        <v>1187</v>
      </c>
      <c r="C139" s="6">
        <v>4156</v>
      </c>
      <c r="D139" s="6">
        <v>2336</v>
      </c>
      <c r="E139" s="6" t="str">
        <f>IFERROR(VLOOKUP($A139,tWA[],5,FALSE),"--")</f>
        <v>4161</v>
      </c>
      <c r="F139" s="6" t="str">
        <f>IFERROR(VLOOKUP($A139,tWA[],6,FALSE),"--")</f>
        <v>4830</v>
      </c>
      <c r="G139" s="18" t="s">
        <v>1843</v>
      </c>
      <c r="H139" s="18">
        <f t="shared" si="6"/>
        <v>4946.6150000000007</v>
      </c>
      <c r="I139" s="18" t="str">
        <f t="shared" si="7"/>
        <v>4946.615,  4240.816</v>
      </c>
      <c r="J139" s="6" t="s">
        <v>1680</v>
      </c>
      <c r="K139" s="6" t="s">
        <v>328</v>
      </c>
      <c r="L139" s="6" t="s">
        <v>273</v>
      </c>
      <c r="M139" s="11" t="s">
        <v>1358</v>
      </c>
      <c r="N139" s="7" t="str">
        <f t="shared" si="8"/>
        <v>{"name": "Guildhall of the Hearth", "map": "Haven", "fCoords": "4156, 2336", "waCoords": "4161, 4830", "leaflet": "4946.615,  4240.816", "pinType": "Guild", "mapRef": "Map Ref.: N16 (HA)", "type": "Guildhouse", "description": "Members of this guild are those whose business is making pepole feel welcome."},</v>
      </c>
    </row>
    <row r="140" spans="1:14" ht="45" x14ac:dyDescent="0.25">
      <c r="A140" s="7" t="s">
        <v>329</v>
      </c>
      <c r="B140" s="7" t="s">
        <v>1187</v>
      </c>
      <c r="C140" s="6">
        <v>4574</v>
      </c>
      <c r="D140" s="6">
        <v>2106</v>
      </c>
      <c r="E140" s="6" t="str">
        <f>IFERROR(VLOOKUP($A140,tWA[],5,FALSE),"--")</f>
        <v>4579</v>
      </c>
      <c r="F140" s="6" t="str">
        <f>IFERROR(VLOOKUP($A140,tWA[],6,FALSE),"--")</f>
        <v>5099</v>
      </c>
      <c r="G140" s="18" t="s">
        <v>1844</v>
      </c>
      <c r="H140" s="18">
        <f t="shared" si="6"/>
        <v>5181.3090000000002</v>
      </c>
      <c r="I140" s="18" t="str">
        <f t="shared" si="7"/>
        <v>5181.309,  4667.347</v>
      </c>
      <c r="J140" s="6" t="s">
        <v>1680</v>
      </c>
      <c r="K140" s="6" t="s">
        <v>330</v>
      </c>
      <c r="L140" s="6" t="s">
        <v>273</v>
      </c>
      <c r="M140" s="11" t="s">
        <v>1359</v>
      </c>
      <c r="N140" s="7" t="str">
        <f t="shared" si="8"/>
        <v>{"name": "Guildhall of the Loom", "map": "Haven", "fCoords": "4574, 2106", "waCoords": "4579, 5099", "leaflet": "5181.309,  4667.347", "pinType": "Guild", "mapRef": "Map Ref.: O16 (HF)", "type": "Guildhouse", "description": "The guild looks after anyone who makes or works with cloth and textiles."},</v>
      </c>
    </row>
    <row r="141" spans="1:14" ht="45" x14ac:dyDescent="0.25">
      <c r="A141" s="7" t="s">
        <v>331</v>
      </c>
      <c r="B141" s="7" t="s">
        <v>1187</v>
      </c>
      <c r="C141" s="6">
        <v>3920</v>
      </c>
      <c r="D141" s="6">
        <v>2311</v>
      </c>
      <c r="E141" s="6" t="str">
        <f>IFERROR(VLOOKUP($A141,tWA[],5,FALSE),"--")</f>
        <v>3930</v>
      </c>
      <c r="F141" s="6" t="str">
        <f>IFERROR(VLOOKUP($A141,tWA[],6,FALSE),"--")</f>
        <v>4885</v>
      </c>
      <c r="G141" s="18" t="s">
        <v>1845</v>
      </c>
      <c r="H141" s="18">
        <f t="shared" si="6"/>
        <v>4972.1260000000002</v>
      </c>
      <c r="I141" s="18" t="str">
        <f t="shared" si="7"/>
        <v>4972.126,  4000.</v>
      </c>
      <c r="J141" s="6" t="s">
        <v>1680</v>
      </c>
      <c r="K141" s="6" t="s">
        <v>332</v>
      </c>
      <c r="L141" s="6" t="s">
        <v>273</v>
      </c>
      <c r="M141" s="11" t="s">
        <v>1360</v>
      </c>
      <c r="N141" s="7" t="str">
        <f t="shared" si="8"/>
        <v>{"name": "Guildhall of the Ship", "map": "Haven", "fCoords": "3920, 2311", "waCoords": "3930, 4885", "leaflet": "4972.126,  4000.", "pinType": "Guild", "mapRef": "Map Ref.: M16 (HB)", "type": "Guildhouse", "description": "For those involved in sailing and shipbuilding"},</v>
      </c>
    </row>
    <row r="142" spans="1:14" ht="45" x14ac:dyDescent="0.25">
      <c r="A142" s="7" t="s">
        <v>333</v>
      </c>
      <c r="B142" s="7" t="s">
        <v>1187</v>
      </c>
      <c r="C142" s="6">
        <v>2274</v>
      </c>
      <c r="D142" s="6">
        <v>4243</v>
      </c>
      <c r="E142" s="6" t="str">
        <f>IFERROR(VLOOKUP($A142,tWA[],5,FALSE),"--")</f>
        <v>2278</v>
      </c>
      <c r="F142" s="6" t="str">
        <f>IFERROR(VLOOKUP($A142,tWA[],6,FALSE),"--")</f>
        <v>2924</v>
      </c>
      <c r="G142" s="18" t="s">
        <v>1846</v>
      </c>
      <c r="H142" s="18">
        <f t="shared" si="6"/>
        <v>3000.6970000000001</v>
      </c>
      <c r="I142" s="18" t="str">
        <f t="shared" si="7"/>
        <v>3000.697,  2320.408</v>
      </c>
      <c r="J142" s="6" t="s">
        <v>1680</v>
      </c>
      <c r="K142" s="6" t="s">
        <v>334</v>
      </c>
      <c r="L142" s="6" t="s">
        <v>273</v>
      </c>
      <c r="M142" s="11" t="s">
        <v>1361</v>
      </c>
      <c r="N142" s="7" t="str">
        <f t="shared" si="8"/>
        <v>{"name": "Guildhouse of Magic", "map": "Haven", "fCoords": "2274, 4243", "waCoords": "2278, 2924", "leaflet": "3000.697,  2320.408", "pinType": "Guild", "mapRef": "Map Ref.: G09 (NJ)", "type": "Guildhouse", "description": "Most practitioners of magic in Haven are members of this guild"},</v>
      </c>
    </row>
    <row r="143" spans="1:14" ht="30" x14ac:dyDescent="0.25">
      <c r="A143" s="7" t="s">
        <v>335</v>
      </c>
      <c r="B143" s="7" t="s">
        <v>1187</v>
      </c>
      <c r="C143" s="6">
        <v>3621</v>
      </c>
      <c r="D143" s="6">
        <v>3916</v>
      </c>
      <c r="E143" s="6" t="str">
        <f>IFERROR(VLOOKUP($A143,tWA[],5,FALSE),"--")</f>
        <v>--</v>
      </c>
      <c r="F143" s="6" t="str">
        <f>IFERROR(VLOOKUP($A143,tWA[],6,FALSE),"--")</f>
        <v>--</v>
      </c>
      <c r="G143" s="18" t="s">
        <v>1847</v>
      </c>
      <c r="H143" s="18">
        <f t="shared" si="6"/>
        <v>3334.37</v>
      </c>
      <c r="I143" s="18" t="str">
        <f t="shared" si="7"/>
        <v>3334.37,  3694.898</v>
      </c>
      <c r="J143" s="6" t="s">
        <v>1218</v>
      </c>
      <c r="K143" s="6" t="s">
        <v>336</v>
      </c>
      <c r="L143" s="6" t="s">
        <v>92</v>
      </c>
      <c r="M143" s="11" t="s">
        <v>1226</v>
      </c>
      <c r="N143" s="7" t="str">
        <f t="shared" si="8"/>
        <v>{"name": "Guski's Sausage Factory", "map": "Haven", "fCoords": "3621, 3916", "waCoords": "--, --", "leaflet": "3334.37,  3694.898", "pinType": "Shopping", "mapRef": "Map Ref.: L10 (OG)", "type": "Butcher", "description": ""},</v>
      </c>
    </row>
    <row r="144" spans="1:14" ht="30" x14ac:dyDescent="0.25">
      <c r="A144" s="7" t="s">
        <v>337</v>
      </c>
      <c r="B144" s="7" t="s">
        <v>1187</v>
      </c>
      <c r="C144" s="6">
        <v>4466</v>
      </c>
      <c r="D144" s="6">
        <v>2290</v>
      </c>
      <c r="E144" s="6" t="str">
        <f>IFERROR(VLOOKUP($A144,tWA[],5,FALSE),"--")</f>
        <v>4466</v>
      </c>
      <c r="F144" s="6" t="str">
        <f>IFERROR(VLOOKUP($A144,tWA[],6,FALSE),"--")</f>
        <v>4898</v>
      </c>
      <c r="G144" s="18" t="s">
        <v>1848</v>
      </c>
      <c r="H144" s="18">
        <f t="shared" si="6"/>
        <v>4993.5540000000001</v>
      </c>
      <c r="I144" s="18" t="str">
        <f t="shared" si="7"/>
        <v>4993.554,  4557.143</v>
      </c>
      <c r="J144" s="6" t="s">
        <v>338</v>
      </c>
      <c r="K144" s="6" t="s">
        <v>339</v>
      </c>
      <c r="L144" s="6" t="s">
        <v>338</v>
      </c>
      <c r="M144" s="11" t="s">
        <v>1349</v>
      </c>
      <c r="N144" s="7" t="str">
        <f t="shared" si="8"/>
        <v>{"name": "Hall of the Council of Boroughs", "map": "Haven", "fCoords": "4466, 2290", "waCoords": "4466, 4898", "leaflet": "4993.554,  4557.143", "pinType": "Government", "mapRef": "Map Ref.: O16 (HG)", "type": "Government", "description": "Sort like a city hall"},</v>
      </c>
    </row>
    <row r="145" spans="1:14" ht="30" x14ac:dyDescent="0.25">
      <c r="A145" s="7" t="s">
        <v>340</v>
      </c>
      <c r="B145" s="7" t="s">
        <v>1187</v>
      </c>
      <c r="C145" s="6">
        <v>2246</v>
      </c>
      <c r="D145" s="6">
        <v>4204</v>
      </c>
      <c r="E145" s="6" t="str">
        <f>IFERROR(VLOOKUP($A145,tWA[],5,FALSE),"--")</f>
        <v>--</v>
      </c>
      <c r="F145" s="6" t="str">
        <f>IFERROR(VLOOKUP($A145,tWA[],6,FALSE),"--")</f>
        <v>--</v>
      </c>
      <c r="G145" s="18" t="s">
        <v>1849</v>
      </c>
      <c r="H145" s="18">
        <f t="shared" si="6"/>
        <v>3040.4929999999999</v>
      </c>
      <c r="I145" s="18" t="str">
        <f t="shared" si="7"/>
        <v>3040.493,  2291.837</v>
      </c>
      <c r="J145" s="6" t="s">
        <v>1680</v>
      </c>
      <c r="K145" s="6" t="s">
        <v>341</v>
      </c>
      <c r="L145" s="6" t="s">
        <v>273</v>
      </c>
      <c r="M145" s="11" t="s">
        <v>1226</v>
      </c>
      <c r="N145" s="7" t="str">
        <f t="shared" si="8"/>
        <v>{"name": "Hall of the Word", "map": "Haven", "fCoords": "2246, 4204", "waCoords": "--, --", "leaflet": "3040.493,  2291.837", "pinType": "Guild", "mapRef": "Map Ref.: G09 (NL)", "type": "Guildhouse", "description": ""},</v>
      </c>
    </row>
    <row r="146" spans="1:14" ht="30" x14ac:dyDescent="0.25">
      <c r="A146" s="7" t="s">
        <v>342</v>
      </c>
      <c r="B146" s="7" t="s">
        <v>1187</v>
      </c>
      <c r="C146" s="6">
        <v>4314</v>
      </c>
      <c r="D146" s="6">
        <v>5647</v>
      </c>
      <c r="E146" s="6" t="str">
        <f>IFERROR(VLOOKUP($A146,tWA[],5,FALSE),"--")</f>
        <v>--</v>
      </c>
      <c r="F146" s="6" t="str">
        <f>IFERROR(VLOOKUP($A146,tWA[],6,FALSE),"--")</f>
        <v>--</v>
      </c>
      <c r="G146" s="18" t="s">
        <v>1850</v>
      </c>
      <c r="H146" s="18">
        <f t="shared" si="6"/>
        <v>1568.0439999999999</v>
      </c>
      <c r="I146" s="18" t="str">
        <f t="shared" si="7"/>
        <v>1568.044,  4402.041</v>
      </c>
      <c r="J146" s="6" t="s">
        <v>1677</v>
      </c>
      <c r="K146" s="6" t="s">
        <v>344</v>
      </c>
      <c r="L146" s="6" t="s">
        <v>343</v>
      </c>
      <c r="M146" s="11" t="s">
        <v>1226</v>
      </c>
      <c r="N146" s="7" t="str">
        <f t="shared" si="8"/>
        <v>{"name": "Halson's Stable &amp; Livery", "map": "Haven", "fCoords": "4314, 5647", "waCoords": "--, --", "leaflet": "1568.044,  4402.041", "pinType": "Service", "mapRef": "Map Ref.: N05 (FR)", "type": "Stable", "description": ""},</v>
      </c>
    </row>
    <row r="147" spans="1:14" ht="30" x14ac:dyDescent="0.25">
      <c r="A147" s="7" t="s">
        <v>345</v>
      </c>
      <c r="B147" s="7" t="s">
        <v>1187</v>
      </c>
      <c r="C147" s="6">
        <v>6243</v>
      </c>
      <c r="D147" s="6">
        <v>5576</v>
      </c>
      <c r="E147" s="6" t="str">
        <f>IFERROR(VLOOKUP($A147,tWA[],5,FALSE),"--")</f>
        <v>--</v>
      </c>
      <c r="F147" s="6" t="str">
        <f>IFERROR(VLOOKUP($A147,tWA[],6,FALSE),"--")</f>
        <v>--</v>
      </c>
      <c r="G147" s="18" t="s">
        <v>1851</v>
      </c>
      <c r="H147" s="18">
        <f t="shared" si="6"/>
        <v>1640.4929999999999</v>
      </c>
      <c r="I147" s="18" t="str">
        <f t="shared" si="7"/>
        <v>1640.493,  6370.408</v>
      </c>
      <c r="J147" s="6" t="s">
        <v>1218</v>
      </c>
      <c r="K147" s="6" t="s">
        <v>347</v>
      </c>
      <c r="L147" s="6" t="s">
        <v>346</v>
      </c>
      <c r="M147" s="11" t="s">
        <v>1226</v>
      </c>
      <c r="N147" s="7" t="str">
        <f t="shared" si="8"/>
        <v>{"name": "Hamilton - Corder", "map": "Haven", "fCoords": "6243, 5576", "waCoords": "--, --", "leaflet": "1640.493,  6370.408", "pinType": "Shopping", "mapRef": "Map Ref.: U05 (AF)", "type": "Corder", "description": ""},</v>
      </c>
    </row>
    <row r="148" spans="1:14" ht="30" x14ac:dyDescent="0.25">
      <c r="A148" s="7" t="s">
        <v>348</v>
      </c>
      <c r="B148" s="7" t="s">
        <v>1187</v>
      </c>
      <c r="C148" s="6">
        <v>3554</v>
      </c>
      <c r="D148" s="6">
        <v>4023</v>
      </c>
      <c r="E148" s="6" t="str">
        <f>IFERROR(VLOOKUP($A148,tWA[],5,FALSE),"--")</f>
        <v>--</v>
      </c>
      <c r="F148" s="6" t="str">
        <f>IFERROR(VLOOKUP($A148,tWA[],6,FALSE),"--")</f>
        <v>--</v>
      </c>
      <c r="G148" s="18" t="s">
        <v>1852</v>
      </c>
      <c r="H148" s="18">
        <f t="shared" si="6"/>
        <v>3225.1869999999999</v>
      </c>
      <c r="I148" s="18" t="str">
        <f t="shared" si="7"/>
        <v>3225.187,  3626.531</v>
      </c>
      <c r="J148" s="6" t="s">
        <v>1218</v>
      </c>
      <c r="K148" s="6" t="s">
        <v>349</v>
      </c>
      <c r="L148" s="6" t="s">
        <v>208</v>
      </c>
      <c r="M148" s="11" t="s">
        <v>1226</v>
      </c>
      <c r="N148" s="7" t="str">
        <f t="shared" si="8"/>
        <v>{"name": "Hamilton's Hockshop", "map": "Haven", "fCoords": "3554, 4023", "waCoords": "--, --", "leaflet": "3225.187,  3626.531", "pinType": "Shopping", "mapRef": "Map Ref.: L10 (OH)", "type": "Pawnbroker", "description": ""},</v>
      </c>
    </row>
    <row r="149" spans="1:14" ht="30" x14ac:dyDescent="0.25">
      <c r="A149" s="7" t="s">
        <v>350</v>
      </c>
      <c r="B149" s="7" t="s">
        <v>1187</v>
      </c>
      <c r="C149" s="6">
        <v>3145</v>
      </c>
      <c r="D149" s="6">
        <v>5594</v>
      </c>
      <c r="E149" s="6" t="str">
        <f>IFERROR(VLOOKUP($A149,tWA[],5,FALSE),"--")</f>
        <v>--</v>
      </c>
      <c r="F149" s="6" t="str">
        <f>IFERROR(VLOOKUP($A149,tWA[],6,FALSE),"--")</f>
        <v>--</v>
      </c>
      <c r="G149" s="18" t="s">
        <v>1853</v>
      </c>
      <c r="H149" s="18">
        <f t="shared" si="6"/>
        <v>1622.126</v>
      </c>
      <c r="I149" s="18" t="str">
        <f t="shared" si="7"/>
        <v>1622.126,  3209.184</v>
      </c>
      <c r="J149" s="6" t="s">
        <v>70</v>
      </c>
      <c r="K149" s="6" t="s">
        <v>351</v>
      </c>
      <c r="L149" s="6" t="s">
        <v>117</v>
      </c>
      <c r="M149" s="11" t="s">
        <v>1226</v>
      </c>
      <c r="N149" s="7" t="str">
        <f t="shared" si="8"/>
        <v>{"name": "Harrido's Rooms to Let", "map": "Haven", "fCoords": "3145, 5594", "waCoords": "--, --", "leaflet": "1622.126,  3209.184", "pinType": "Residence", "mapRef": "Map Ref.: J05 (QX)", "type": "Rooming House", "description": ""},</v>
      </c>
    </row>
    <row r="150" spans="1:14" ht="30" x14ac:dyDescent="0.25">
      <c r="A150" s="7" t="s">
        <v>352</v>
      </c>
      <c r="B150" s="7" t="s">
        <v>1187</v>
      </c>
      <c r="C150" s="6">
        <v>3991</v>
      </c>
      <c r="D150" s="6">
        <v>6347</v>
      </c>
      <c r="E150" s="6" t="str">
        <f>IFERROR(VLOOKUP($A150,tWA[],5,FALSE),"--")</f>
        <v>--</v>
      </c>
      <c r="F150" s="6" t="str">
        <f>IFERROR(VLOOKUP($A150,tWA[],6,FALSE),"--")</f>
        <v>--</v>
      </c>
      <c r="G150" s="18" t="s">
        <v>1854</v>
      </c>
      <c r="H150" s="18">
        <f t="shared" si="6"/>
        <v>853.75800000000004</v>
      </c>
      <c r="I150" s="18" t="str">
        <f t="shared" si="7"/>
        <v>853.758,  4072.449</v>
      </c>
      <c r="J150" s="6" t="s">
        <v>22</v>
      </c>
      <c r="K150" s="6" t="s">
        <v>353</v>
      </c>
      <c r="L150" s="6" t="s">
        <v>22</v>
      </c>
      <c r="M150" s="11" t="s">
        <v>1226</v>
      </c>
      <c r="N150" s="7" t="str">
        <f t="shared" si="8"/>
        <v>{"name": "Hasbin - Healer", "map": "Haven", "fCoords": "3991, 6347", "waCoords": "--, --", "leaflet": "853.758,  4072.449", "pinType": "Medical", "mapRef": "Map Ref.: M02 (TP)", "type": "Medical", "description": ""},</v>
      </c>
    </row>
    <row r="151" spans="1:14" ht="30" x14ac:dyDescent="0.25">
      <c r="A151" s="7" t="s">
        <v>354</v>
      </c>
      <c r="B151" s="7" t="s">
        <v>1187</v>
      </c>
      <c r="C151" s="6">
        <v>4001</v>
      </c>
      <c r="D151" s="6">
        <v>5331</v>
      </c>
      <c r="E151" s="6" t="str">
        <f>IFERROR(VLOOKUP($A151,tWA[],5,FALSE),"--")</f>
        <v>--</v>
      </c>
      <c r="F151" s="6" t="str">
        <f>IFERROR(VLOOKUP($A151,tWA[],6,FALSE),"--")</f>
        <v>--</v>
      </c>
      <c r="G151" s="18" t="s">
        <v>1855</v>
      </c>
      <c r="H151" s="18">
        <f t="shared" si="6"/>
        <v>1890.4929999999999</v>
      </c>
      <c r="I151" s="18" t="str">
        <f t="shared" si="7"/>
        <v>1890.493,  4082.653</v>
      </c>
      <c r="J151" s="6" t="s">
        <v>1199</v>
      </c>
      <c r="K151" s="6" t="s">
        <v>355</v>
      </c>
      <c r="L151" s="6" t="s">
        <v>19</v>
      </c>
      <c r="M151" s="11" t="s">
        <v>1226</v>
      </c>
      <c r="N151" s="7" t="str">
        <f t="shared" si="8"/>
        <v>{"name": "Heaven's Gate", "map": "Haven", "fCoords": "4001, 5331", "waCoords": "--, --", "leaflet": "1890.493,  4082.653", "pinType": "Entertainment", "mapRef": "Map Ref.: M06 (DS)", "type": "Brothel", "description": ""},</v>
      </c>
    </row>
    <row r="152" spans="1:14" ht="30" x14ac:dyDescent="0.25">
      <c r="A152" s="7" t="s">
        <v>356</v>
      </c>
      <c r="B152" s="7" t="s">
        <v>1187</v>
      </c>
      <c r="C152" s="6">
        <v>978</v>
      </c>
      <c r="D152" s="6">
        <v>4734</v>
      </c>
      <c r="E152" s="6" t="str">
        <f>IFERROR(VLOOKUP($A152,tWA[],5,FALSE),"--")</f>
        <v>--</v>
      </c>
      <c r="F152" s="6" t="str">
        <f>IFERROR(VLOOKUP($A152,tWA[],6,FALSE),"--")</f>
        <v>--</v>
      </c>
      <c r="G152" s="18" t="s">
        <v>1856</v>
      </c>
      <c r="H152" s="18">
        <f t="shared" si="6"/>
        <v>2499.6770000000001</v>
      </c>
      <c r="I152" s="18" t="str">
        <f t="shared" si="7"/>
        <v>2499.677,  997.959</v>
      </c>
      <c r="J152" s="6" t="s">
        <v>1218</v>
      </c>
      <c r="K152" s="6" t="s">
        <v>357</v>
      </c>
      <c r="L152" s="6" t="s">
        <v>78</v>
      </c>
      <c r="M152" s="11" t="s">
        <v>1226</v>
      </c>
      <c r="N152" s="7" t="str">
        <f t="shared" si="8"/>
        <v>{"name": "Heidel Varrasch's Office", "map": "Haven", "fCoords": "978, 4734", "waCoords": "--, --", "leaflet": "2499.677,  997.959", "pinType": "Shopping", "mapRef": "Map Ref.: C08 (PM)", "type": "Livestock", "description": ""},</v>
      </c>
    </row>
    <row r="153" spans="1:14" ht="30" x14ac:dyDescent="0.25">
      <c r="A153" s="7" t="s">
        <v>358</v>
      </c>
      <c r="B153" s="7" t="s">
        <v>1187</v>
      </c>
      <c r="C153" s="6">
        <v>2284</v>
      </c>
      <c r="D153" s="6">
        <v>3444</v>
      </c>
      <c r="E153" s="6" t="str">
        <f>IFERROR(VLOOKUP($A153,tWA[],5,FALSE),"--")</f>
        <v>--</v>
      </c>
      <c r="F153" s="6" t="str">
        <f>IFERROR(VLOOKUP($A153,tWA[],6,FALSE),"--")</f>
        <v>--</v>
      </c>
      <c r="G153" s="18" t="s">
        <v>1857</v>
      </c>
      <c r="H153" s="18">
        <f t="shared" si="6"/>
        <v>3816.0029999999997</v>
      </c>
      <c r="I153" s="18" t="str">
        <f t="shared" si="7"/>
        <v>3816.003,  2330.612</v>
      </c>
      <c r="J153" s="6" t="s">
        <v>1677</v>
      </c>
      <c r="K153" s="6" t="s">
        <v>360</v>
      </c>
      <c r="L153" s="6" t="s">
        <v>359</v>
      </c>
      <c r="M153" s="11" t="s">
        <v>1226</v>
      </c>
      <c r="N153" s="7" t="str">
        <f t="shared" si="8"/>
        <v>{"name": "Herundor Holdings", "map": "Haven", "fCoords": "2284, 3444", "waCoords": "--, --", "leaflet": "3816.003,  2330.612", "pinType": "Service", "mapRef": "Map Ref.: G12 (TL)", "type": "Real Estate", "description": ""},</v>
      </c>
    </row>
    <row r="154" spans="1:14" ht="30" x14ac:dyDescent="0.25">
      <c r="A154" s="7" t="s">
        <v>361</v>
      </c>
      <c r="B154" s="7" t="s">
        <v>1187</v>
      </c>
      <c r="C154" s="6">
        <v>2357</v>
      </c>
      <c r="D154" s="6">
        <v>4398</v>
      </c>
      <c r="E154" s="6" t="str">
        <f>IFERROR(VLOOKUP($A154,tWA[],5,FALSE),"--")</f>
        <v>--</v>
      </c>
      <c r="F154" s="6" t="str">
        <f>IFERROR(VLOOKUP($A154,tWA[],6,FALSE),"--")</f>
        <v>--</v>
      </c>
      <c r="G154" s="18" t="s">
        <v>1858</v>
      </c>
      <c r="H154" s="18">
        <f t="shared" si="6"/>
        <v>2842.5340000000001</v>
      </c>
      <c r="I154" s="18" t="str">
        <f t="shared" si="7"/>
        <v>2842.534,  2405.102</v>
      </c>
      <c r="J154" s="6" t="s">
        <v>1218</v>
      </c>
      <c r="K154" s="6" t="s">
        <v>362</v>
      </c>
      <c r="L154" s="6" t="s">
        <v>241</v>
      </c>
      <c r="M154" s="11" t="s">
        <v>1226</v>
      </c>
      <c r="N154" s="7" t="str">
        <f t="shared" si="8"/>
        <v>{"name": "Hire-a-Mage", "map": "Haven", "fCoords": "2357, 4398", "waCoords": "--, --", "leaflet": "2842.534,  2405.102", "pinType": "Shopping", "mapRef": "Map Ref.: H09 (NT)", "type": "Magic", "description": ""},</v>
      </c>
    </row>
    <row r="155" spans="1:14" ht="30" x14ac:dyDescent="0.25">
      <c r="A155" s="7" t="s">
        <v>1152</v>
      </c>
      <c r="B155" s="7" t="s">
        <v>1187</v>
      </c>
      <c r="C155" s="6">
        <v>1890</v>
      </c>
      <c r="D155" s="6">
        <v>1079</v>
      </c>
      <c r="E155" s="6" t="str">
        <f>IFERROR(VLOOKUP($A155,tWA[],5,FALSE),"--")</f>
        <v>--</v>
      </c>
      <c r="F155" s="6" t="str">
        <f>IFERROR(VLOOKUP($A155,tWA[],6,FALSE),"--")</f>
        <v>--</v>
      </c>
      <c r="G155" s="18" t="s">
        <v>1859</v>
      </c>
      <c r="H155" s="18">
        <f t="shared" si="6"/>
        <v>6229.268</v>
      </c>
      <c r="I155" s="18" t="str">
        <f t="shared" si="7"/>
        <v>6229.268,  1928.571</v>
      </c>
      <c r="J155" s="6" t="s">
        <v>70</v>
      </c>
      <c r="K155" s="6" t="s">
        <v>363</v>
      </c>
      <c r="L155" s="6" t="s">
        <v>71</v>
      </c>
      <c r="M155" s="11" t="s">
        <v>1226</v>
      </c>
      <c r="N155" s="7" t="str">
        <f t="shared" si="8"/>
        <v>{"name": "Hochritter Family Residence", "map": "Haven", "fCoords": "1890, 1079", "waCoords": "--, --", "leaflet": "6229.268,  1928.571", "pinType": "Residence", "mapRef": "Map Ref.: F20 (DC)", "type": "Mansion", "description": ""},</v>
      </c>
    </row>
    <row r="156" spans="1:14" ht="30" x14ac:dyDescent="0.25">
      <c r="A156" s="7" t="s">
        <v>1153</v>
      </c>
      <c r="B156" s="7" t="s">
        <v>1187</v>
      </c>
      <c r="C156" s="6">
        <v>3944</v>
      </c>
      <c r="D156" s="6">
        <v>1114</v>
      </c>
      <c r="E156" s="6" t="str">
        <f>IFERROR(VLOOKUP($A156,tWA[],5,FALSE),"--")</f>
        <v>--</v>
      </c>
      <c r="F156" s="6" t="str">
        <f>IFERROR(VLOOKUP($A156,tWA[],6,FALSE),"--")</f>
        <v>--</v>
      </c>
      <c r="G156" s="18" t="s">
        <v>1860</v>
      </c>
      <c r="H156" s="18">
        <f t="shared" si="6"/>
        <v>6193.5540000000001</v>
      </c>
      <c r="I156" s="18" t="str">
        <f t="shared" si="7"/>
        <v>6193.554,  4024.49</v>
      </c>
      <c r="J156" s="6" t="s">
        <v>70</v>
      </c>
      <c r="K156" s="6" t="s">
        <v>364</v>
      </c>
      <c r="L156" s="6" t="s">
        <v>71</v>
      </c>
      <c r="M156" s="11" t="s">
        <v>1226</v>
      </c>
      <c r="N156" s="7" t="str">
        <f t="shared" si="8"/>
        <v>{"name": "Hofstra Family Residence", "map": "Haven", "fCoords": "3944, 1114", "waCoords": "--, --", "leaflet": "6193.554,  4024.49", "pinType": "Residence", "mapRef": "Map Ref.: M20 (FG)", "type": "Mansion", "description": ""},</v>
      </c>
    </row>
    <row r="157" spans="1:14" ht="45" x14ac:dyDescent="0.25">
      <c r="A157" s="7" t="s">
        <v>365</v>
      </c>
      <c r="B157" s="7" t="s">
        <v>1187</v>
      </c>
      <c r="C157" s="6">
        <v>5300</v>
      </c>
      <c r="D157" s="6">
        <v>2600</v>
      </c>
      <c r="E157" s="6" t="str">
        <f>IFERROR(VLOOKUP($A157,tWA[],5,FALSE),"--")</f>
        <v>5235</v>
      </c>
      <c r="F157" s="6" t="str">
        <f>IFERROR(VLOOKUP($A157,tWA[],6,FALSE),"--")</f>
        <v>4587</v>
      </c>
      <c r="G157" s="18" t="s">
        <v>1861</v>
      </c>
      <c r="H157" s="18">
        <f t="shared" si="6"/>
        <v>4677.2280000000001</v>
      </c>
      <c r="I157" s="18" t="str">
        <f t="shared" si="7"/>
        <v>4677.228,  5408.163</v>
      </c>
      <c r="J157" s="6" t="s">
        <v>1204</v>
      </c>
      <c r="K157" s="6" t="s">
        <v>366</v>
      </c>
      <c r="L157" s="6" t="s">
        <v>16</v>
      </c>
      <c r="M157" s="11" t="s">
        <v>1363</v>
      </c>
      <c r="N157" s="7" t="str">
        <f t="shared" si="8"/>
        <v>{"name": "Holiday Inn", "map": "Haven", "fCoords": "5300, 2600", "waCoords": "5235, 4587", "leaflet": "4677.228,  5408.163", "pinType": "Inns &amp; Taverns", "mapRef": "Map Ref.: R15 (SC)", "type": "Inn", "description": "One of the more well known inns/taverns in haven"},</v>
      </c>
    </row>
    <row r="158" spans="1:14" ht="30" x14ac:dyDescent="0.25">
      <c r="A158" s="7" t="s">
        <v>367</v>
      </c>
      <c r="B158" s="7" t="s">
        <v>1187</v>
      </c>
      <c r="C158" s="6">
        <v>1809</v>
      </c>
      <c r="D158" s="6">
        <v>5458</v>
      </c>
      <c r="E158" s="6" t="str">
        <f>IFERROR(VLOOKUP($A158,tWA[],5,FALSE),"--")</f>
        <v>--</v>
      </c>
      <c r="F158" s="6" t="str">
        <f>IFERROR(VLOOKUP($A158,tWA[],6,FALSE),"--")</f>
        <v>--</v>
      </c>
      <c r="G158" s="18" t="s">
        <v>1862</v>
      </c>
      <c r="H158" s="18">
        <f t="shared" si="6"/>
        <v>1760.9009999999998</v>
      </c>
      <c r="I158" s="18" t="str">
        <f t="shared" si="7"/>
        <v>1760.901,  1845.918</v>
      </c>
      <c r="J158" s="6" t="s">
        <v>1218</v>
      </c>
      <c r="K158" s="6" t="s">
        <v>368</v>
      </c>
      <c r="L158" s="6" t="s">
        <v>234</v>
      </c>
      <c r="M158" s="11" t="s">
        <v>1226</v>
      </c>
      <c r="N158" s="7" t="str">
        <f t="shared" si="8"/>
        <v>{"name": "Holsum - Greengrocer", "map": "Haven", "fCoords": "1809, 5458", "waCoords": "--, --", "leaflet": "1760.901,  1845.918", "pinType": "Shopping", "mapRef": "Map Ref.: F05 (QL)", "type": "Greengrocer", "description": ""},</v>
      </c>
    </row>
    <row r="159" spans="1:14" ht="30" x14ac:dyDescent="0.25">
      <c r="A159" s="7" t="s">
        <v>1154</v>
      </c>
      <c r="B159" s="7" t="s">
        <v>1187</v>
      </c>
      <c r="C159" s="6">
        <v>2184</v>
      </c>
      <c r="D159" s="6">
        <v>4473</v>
      </c>
      <c r="E159" s="6" t="str">
        <f>IFERROR(VLOOKUP($A159,tWA[],5,FALSE),"--")</f>
        <v>--</v>
      </c>
      <c r="F159" s="6" t="str">
        <f>IFERROR(VLOOKUP($A159,tWA[],6,FALSE),"--")</f>
        <v>--</v>
      </c>
      <c r="G159" s="18" t="s">
        <v>1863</v>
      </c>
      <c r="H159" s="18">
        <f t="shared" si="6"/>
        <v>2766.0029999999997</v>
      </c>
      <c r="I159" s="18" t="str">
        <f t="shared" si="7"/>
        <v>2766.003,  2228.571</v>
      </c>
      <c r="J159" s="6" t="s">
        <v>70</v>
      </c>
      <c r="K159" s="6" t="s">
        <v>370</v>
      </c>
      <c r="L159" s="6" t="s">
        <v>369</v>
      </c>
      <c r="M159" s="11" t="s">
        <v>1226</v>
      </c>
      <c r="N159" s="7" t="str">
        <f t="shared" si="8"/>
        <v>{"name": "Home of Artemus Faraday", "map": "Haven", "fCoords": "2184, 4473", "waCoords": "--, --", "leaflet": "2766.003,  2228.571", "pinType": "Residence", "mapRef": "Map Ref.: G09 (OA)", "type": "House", "description": ""},</v>
      </c>
    </row>
    <row r="160" spans="1:14" ht="30" x14ac:dyDescent="0.25">
      <c r="A160" s="7" t="s">
        <v>1155</v>
      </c>
      <c r="B160" s="7" t="s">
        <v>1187</v>
      </c>
      <c r="C160" s="6">
        <v>369</v>
      </c>
      <c r="D160" s="6">
        <v>3703</v>
      </c>
      <c r="E160" s="6" t="str">
        <f>IFERROR(VLOOKUP($A160,tWA[],5,FALSE),"--")</f>
        <v>--</v>
      </c>
      <c r="F160" s="6" t="str">
        <f>IFERROR(VLOOKUP($A160,tWA[],6,FALSE),"--")</f>
        <v>--</v>
      </c>
      <c r="G160" s="18" t="s">
        <v>1864</v>
      </c>
      <c r="H160" s="18">
        <f t="shared" si="6"/>
        <v>3551.7170000000001</v>
      </c>
      <c r="I160" s="18" t="str">
        <f t="shared" si="7"/>
        <v>3551.717,  376.531</v>
      </c>
      <c r="J160" s="6" t="s">
        <v>70</v>
      </c>
      <c r="K160" s="6" t="s">
        <v>371</v>
      </c>
      <c r="L160" s="6" t="s">
        <v>369</v>
      </c>
      <c r="M160" s="11" t="s">
        <v>1226</v>
      </c>
      <c r="N160" s="7" t="str">
        <f t="shared" si="8"/>
        <v>{"name": "Home of Balin arn Malbar", "map": "Haven", "fCoords": "369, 3703", "waCoords": "--, --", "leaflet": "3551.717,  376.531", "pinType": "Residence", "mapRef": "Map Ref.: A11 (KM)", "type": "House", "description": ""},</v>
      </c>
    </row>
    <row r="161" spans="1:14" ht="30" x14ac:dyDescent="0.25">
      <c r="A161" s="7" t="s">
        <v>1156</v>
      </c>
      <c r="B161" s="7" t="s">
        <v>1187</v>
      </c>
      <c r="C161" s="6">
        <v>2233</v>
      </c>
      <c r="D161" s="6">
        <v>4480</v>
      </c>
      <c r="E161" s="6" t="str">
        <f>IFERROR(VLOOKUP($A161,tWA[],5,FALSE),"--")</f>
        <v>--</v>
      </c>
      <c r="F161" s="6" t="str">
        <f>IFERROR(VLOOKUP($A161,tWA[],6,FALSE),"--")</f>
        <v>--</v>
      </c>
      <c r="G161" s="18" t="s">
        <v>1865</v>
      </c>
      <c r="H161" s="18">
        <f t="shared" si="6"/>
        <v>2758.86</v>
      </c>
      <c r="I161" s="18" t="str">
        <f t="shared" si="7"/>
        <v>2758.86,  2278.571</v>
      </c>
      <c r="J161" s="6" t="s">
        <v>70</v>
      </c>
      <c r="K161" s="6" t="s">
        <v>372</v>
      </c>
      <c r="L161" s="6" t="s">
        <v>369</v>
      </c>
      <c r="M161" s="11" t="s">
        <v>1226</v>
      </c>
      <c r="N161" s="7" t="str">
        <f t="shared" si="8"/>
        <v>{"name": "Home of Colchester Tibbits", "map": "Haven", "fCoords": "2233, 4480", "waCoords": "--, --", "leaflet": "2758.86,  2278.571", "pinType": "Residence", "mapRef": "Map Ref.: G09 (NZ)", "type": "House", "description": ""},</v>
      </c>
    </row>
    <row r="162" spans="1:14" ht="30" x14ac:dyDescent="0.25">
      <c r="A162" s="7" t="s">
        <v>1157</v>
      </c>
      <c r="B162" s="7" t="s">
        <v>1187</v>
      </c>
      <c r="C162" s="6">
        <v>599</v>
      </c>
      <c r="D162" s="6">
        <v>4125</v>
      </c>
      <c r="E162" s="6" t="str">
        <f>IFERROR(VLOOKUP($A162,tWA[],5,FALSE),"--")</f>
        <v>--</v>
      </c>
      <c r="F162" s="6" t="str">
        <f>IFERROR(VLOOKUP($A162,tWA[],6,FALSE),"--")</f>
        <v>--</v>
      </c>
      <c r="G162" s="18" t="s">
        <v>1866</v>
      </c>
      <c r="H162" s="18">
        <f t="shared" si="6"/>
        <v>3121.105</v>
      </c>
      <c r="I162" s="18" t="str">
        <f t="shared" si="7"/>
        <v>3121.105,  611.224</v>
      </c>
      <c r="J162" s="6" t="s">
        <v>70</v>
      </c>
      <c r="K162" s="6" t="s">
        <v>373</v>
      </c>
      <c r="L162" s="6" t="s">
        <v>369</v>
      </c>
      <c r="M162" s="11" t="s">
        <v>1226</v>
      </c>
      <c r="N162" s="7" t="str">
        <f t="shared" si="8"/>
        <v>{"name": "Home of Jarius Gildenhoof", "map": "Haven", "fCoords": "599, 4125", "waCoords": "--, --", "leaflet": "3121.105,  611.224", "pinType": "Residence", "mapRef": "Map Ref.: B10 (KR)", "type": "House", "description": ""},</v>
      </c>
    </row>
    <row r="163" spans="1:14" ht="30" x14ac:dyDescent="0.25">
      <c r="A163" s="7" t="s">
        <v>1158</v>
      </c>
      <c r="B163" s="7" t="s">
        <v>1187</v>
      </c>
      <c r="C163" s="6">
        <v>1529</v>
      </c>
      <c r="D163" s="6">
        <v>3914</v>
      </c>
      <c r="E163" s="6" t="str">
        <f>IFERROR(VLOOKUP($A163,tWA[],5,FALSE),"--")</f>
        <v>--</v>
      </c>
      <c r="F163" s="6" t="str">
        <f>IFERROR(VLOOKUP($A163,tWA[],6,FALSE),"--")</f>
        <v>--</v>
      </c>
      <c r="G163" s="18" t="s">
        <v>1867</v>
      </c>
      <c r="H163" s="18">
        <f t="shared" si="6"/>
        <v>3336.4110000000001</v>
      </c>
      <c r="I163" s="18" t="str">
        <f t="shared" si="7"/>
        <v>3336.411,  1560.204</v>
      </c>
      <c r="J163" s="6" t="s">
        <v>70</v>
      </c>
      <c r="K163" s="6" t="s">
        <v>374</v>
      </c>
      <c r="L163" s="6" t="s">
        <v>132</v>
      </c>
      <c r="M163" s="11" t="s">
        <v>1226</v>
      </c>
      <c r="N163" s="7" t="str">
        <f t="shared" si="8"/>
        <v>{"name": "Home of Master Nimoyin", "map": "Haven", "fCoords": "1529, 3914", "waCoords": "--, --", "leaflet": "3336.411,  1560.204", "pinType": "Residence", "mapRef": "Map Ref.: E10 (LO)", "type": "Large House", "description": ""},</v>
      </c>
    </row>
    <row r="164" spans="1:14" ht="30" x14ac:dyDescent="0.25">
      <c r="A164" s="7" t="s">
        <v>1159</v>
      </c>
      <c r="B164" s="7" t="s">
        <v>1187</v>
      </c>
      <c r="C164" s="6">
        <v>534</v>
      </c>
      <c r="D164" s="6">
        <v>3671</v>
      </c>
      <c r="E164" s="6" t="str">
        <f>IFERROR(VLOOKUP($A164,tWA[],5,FALSE),"--")</f>
        <v>--</v>
      </c>
      <c r="F164" s="6" t="str">
        <f>IFERROR(VLOOKUP($A164,tWA[],6,FALSE),"--")</f>
        <v>--</v>
      </c>
      <c r="G164" s="18" t="s">
        <v>1868</v>
      </c>
      <c r="H164" s="18">
        <f t="shared" si="6"/>
        <v>3584.37</v>
      </c>
      <c r="I164" s="18" t="str">
        <f t="shared" si="7"/>
        <v>3584.37,  544.898</v>
      </c>
      <c r="J164" s="6" t="s">
        <v>70</v>
      </c>
      <c r="K164" s="6" t="s">
        <v>375</v>
      </c>
      <c r="L164" s="6" t="s">
        <v>369</v>
      </c>
      <c r="M164" s="11" t="s">
        <v>1226</v>
      </c>
      <c r="N164" s="7" t="str">
        <f t="shared" si="8"/>
        <v>{"name": "Home of Nikkolai", "map": "Haven", "fCoords": "534, 3671", "waCoords": "--, --", "leaflet": "3584.37,  544.898", "pinType": "Residence", "mapRef": "Map Ref.: A11 (KN)", "type": "House", "description": ""},</v>
      </c>
    </row>
    <row r="165" spans="1:14" ht="30" x14ac:dyDescent="0.25">
      <c r="A165" s="7" t="s">
        <v>376</v>
      </c>
      <c r="B165" s="7" t="s">
        <v>1187</v>
      </c>
      <c r="C165" s="6">
        <v>6205</v>
      </c>
      <c r="D165" s="6">
        <v>5375</v>
      </c>
      <c r="E165" s="6" t="str">
        <f>IFERROR(VLOOKUP($A165,tWA[],5,FALSE),"--")</f>
        <v>--</v>
      </c>
      <c r="F165" s="6" t="str">
        <f>IFERROR(VLOOKUP($A165,tWA[],6,FALSE),"--")</f>
        <v>--</v>
      </c>
      <c r="G165" s="18" t="s">
        <v>1869</v>
      </c>
      <c r="H165" s="18">
        <f t="shared" si="6"/>
        <v>1845.5949999999998</v>
      </c>
      <c r="I165" s="18" t="str">
        <f t="shared" si="7"/>
        <v>1845.595,  6331.633</v>
      </c>
      <c r="J165" s="6" t="s">
        <v>1218</v>
      </c>
      <c r="K165" s="6" t="s">
        <v>377</v>
      </c>
      <c r="L165" s="6" t="s">
        <v>297</v>
      </c>
      <c r="M165" s="11" t="s">
        <v>1226</v>
      </c>
      <c r="N165" s="7" t="str">
        <f t="shared" si="8"/>
        <v>{"name": "Honest Boris - Fine Jewellery", "map": "Haven", "fCoords": "6205, 5375", "waCoords": "--, --", "leaflet": "1845.595,  6331.633", "pinType": "Shopping", "mapRef": "Map Ref.: U06 (AR)", "type": "Jeweler", "description": ""},</v>
      </c>
    </row>
    <row r="166" spans="1:14" ht="30" x14ac:dyDescent="0.25">
      <c r="A166" s="7" t="s">
        <v>378</v>
      </c>
      <c r="B166" s="7" t="s">
        <v>1187</v>
      </c>
      <c r="C166" s="6">
        <v>775</v>
      </c>
      <c r="D166" s="6">
        <v>4763</v>
      </c>
      <c r="E166" s="6" t="str">
        <f>IFERROR(VLOOKUP($A166,tWA[],5,FALSE),"--")</f>
        <v>--</v>
      </c>
      <c r="F166" s="6" t="str">
        <f>IFERROR(VLOOKUP($A166,tWA[],6,FALSE),"--")</f>
        <v>--</v>
      </c>
      <c r="G166" s="18" t="s">
        <v>1870</v>
      </c>
      <c r="H166" s="18">
        <f t="shared" si="6"/>
        <v>2470.085</v>
      </c>
      <c r="I166" s="18" t="str">
        <f t="shared" si="7"/>
        <v>2470.085,  790.816</v>
      </c>
      <c r="J166" s="6" t="s">
        <v>1218</v>
      </c>
      <c r="K166" s="6" t="s">
        <v>379</v>
      </c>
      <c r="L166" s="6" t="s">
        <v>78</v>
      </c>
      <c r="M166" s="11" t="s">
        <v>1226</v>
      </c>
      <c r="N166" s="7" t="str">
        <f t="shared" si="8"/>
        <v>{"name": "Honest John the Used Horse Dealer", "map": "Haven", "fCoords": "775, 4763", "waCoords": "--, --", "leaflet": "2470.085,  790.816", "pinType": "Shopping", "mapRef": "Map Ref.: B08 (PR)", "type": "Livestock", "description": ""},</v>
      </c>
    </row>
    <row r="167" spans="1:14" ht="30" x14ac:dyDescent="0.25">
      <c r="A167" s="7" t="s">
        <v>380</v>
      </c>
      <c r="B167" s="7" t="s">
        <v>1187</v>
      </c>
      <c r="C167" s="6">
        <v>1517</v>
      </c>
      <c r="D167" s="6">
        <v>5326</v>
      </c>
      <c r="E167" s="6" t="str">
        <f>IFERROR(VLOOKUP($A167,tWA[],5,FALSE),"--")</f>
        <v>--</v>
      </c>
      <c r="F167" s="6" t="str">
        <f>IFERROR(VLOOKUP($A167,tWA[],6,FALSE),"--")</f>
        <v>--</v>
      </c>
      <c r="G167" s="18" t="s">
        <v>1871</v>
      </c>
      <c r="H167" s="18">
        <f t="shared" si="6"/>
        <v>1895.5949999999998</v>
      </c>
      <c r="I167" s="18" t="str">
        <f t="shared" si="7"/>
        <v>1895.595,  1547.959</v>
      </c>
      <c r="J167" s="6" t="s">
        <v>1218</v>
      </c>
      <c r="K167" s="6" t="s">
        <v>381</v>
      </c>
      <c r="L167" s="6" t="s">
        <v>229</v>
      </c>
      <c r="M167" s="11" t="s">
        <v>1226</v>
      </c>
      <c r="N167" s="7" t="str">
        <f t="shared" si="8"/>
        <v>{"name": "Honsen's Weapons Foundry", "map": "Haven", "fCoords": "1517, 5326", "waCoords": "--, --", "leaflet": "1895.595,  1547.959", "pinType": "Shopping", "mapRef": "Map Ref.: E06 (QG)", "type": "Weapons", "description": ""},</v>
      </c>
    </row>
    <row r="168" spans="1:14" ht="30" x14ac:dyDescent="0.25">
      <c r="A168" s="7" t="s">
        <v>382</v>
      </c>
      <c r="B168" s="7" t="s">
        <v>1187</v>
      </c>
      <c r="C168" s="6">
        <v>1481</v>
      </c>
      <c r="D168" s="6">
        <v>5270</v>
      </c>
      <c r="E168" s="6" t="str">
        <f>IFERROR(VLOOKUP($A168,tWA[],5,FALSE),"--")</f>
        <v>--</v>
      </c>
      <c r="F168" s="6" t="str">
        <f>IFERROR(VLOOKUP($A168,tWA[],6,FALSE),"--")</f>
        <v>--</v>
      </c>
      <c r="G168" s="18" t="s">
        <v>1872</v>
      </c>
      <c r="H168" s="18">
        <f t="shared" si="6"/>
        <v>1952.7379999999998</v>
      </c>
      <c r="I168" s="18" t="str">
        <f t="shared" si="7"/>
        <v>1952.738,  1511.224</v>
      </c>
      <c r="J168" s="6" t="s">
        <v>1218</v>
      </c>
      <c r="K168" s="6" t="s">
        <v>383</v>
      </c>
      <c r="L168" s="6" t="s">
        <v>229</v>
      </c>
      <c r="M168" s="11" t="s">
        <v>1226</v>
      </c>
      <c r="N168" s="7" t="str">
        <f t="shared" si="8"/>
        <v>{"name": "Hood - Fletching and Bowery", "map": "Haven", "fCoords": "1481, 5270", "waCoords": "--, --", "leaflet": "1952.738,  1511.224", "pinType": "Shopping", "mapRef": "Map Ref.: E06 (QI)", "type": "Weapons", "description": ""},</v>
      </c>
    </row>
    <row r="169" spans="1:14" ht="45" x14ac:dyDescent="0.25">
      <c r="A169" s="7" t="s">
        <v>384</v>
      </c>
      <c r="B169" s="7" t="s">
        <v>1187</v>
      </c>
      <c r="C169" s="6">
        <v>2197</v>
      </c>
      <c r="D169" s="6">
        <v>4837</v>
      </c>
      <c r="E169" s="6" t="str">
        <f>IFERROR(VLOOKUP($A169,tWA[],5,FALSE),"--")</f>
        <v>2197</v>
      </c>
      <c r="F169" s="6" t="str">
        <f>IFERROR(VLOOKUP($A169,tWA[],6,FALSE),"--")</f>
        <v>2350</v>
      </c>
      <c r="G169" s="18" t="s">
        <v>1873</v>
      </c>
      <c r="H169" s="18">
        <f t="shared" si="6"/>
        <v>2394.5740000000001</v>
      </c>
      <c r="I169" s="18" t="str">
        <f t="shared" si="7"/>
        <v>2394.574,  2241.837</v>
      </c>
      <c r="J169" s="6" t="s">
        <v>1204</v>
      </c>
      <c r="K169" s="6" t="s">
        <v>385</v>
      </c>
      <c r="L169" s="6" t="s">
        <v>16</v>
      </c>
      <c r="M169" s="11" t="s">
        <v>1363</v>
      </c>
      <c r="N169" s="7" t="str">
        <f t="shared" si="8"/>
        <v>{"name": "Horn and Hardart", "map": "Haven", "fCoords": "2197, 4837", "waCoords": "2197, 2350", "leaflet": "2394.574,  2241.837", "pinType": "Inns &amp; Taverns", "mapRef": "Map Ref.: G07 (MX)", "type": "Inn", "description": "One of the more well known inns/taverns in haven"},</v>
      </c>
    </row>
    <row r="170" spans="1:14" ht="30" x14ac:dyDescent="0.25">
      <c r="A170" s="7" t="s">
        <v>386</v>
      </c>
      <c r="B170" s="7" t="s">
        <v>1187</v>
      </c>
      <c r="C170" s="6">
        <v>970</v>
      </c>
      <c r="D170" s="6">
        <v>5040</v>
      </c>
      <c r="E170" s="6" t="str">
        <f>IFERROR(VLOOKUP($A170,tWA[],5,FALSE),"--")</f>
        <v>982</v>
      </c>
      <c r="F170" s="6" t="str">
        <f>IFERROR(VLOOKUP($A170,tWA[],6,FALSE),"--")</f>
        <v>2138</v>
      </c>
      <c r="G170" s="18" t="s">
        <v>1874</v>
      </c>
      <c r="H170" s="18">
        <f t="shared" si="6"/>
        <v>2187.4319999999998</v>
      </c>
      <c r="I170" s="18" t="str">
        <f t="shared" si="7"/>
        <v>2187.432,  989.796</v>
      </c>
      <c r="J170" s="6" t="s">
        <v>9</v>
      </c>
      <c r="K170" s="6" t="s">
        <v>387</v>
      </c>
      <c r="L170" s="6" t="s">
        <v>9</v>
      </c>
      <c r="M170" s="11" t="s">
        <v>1340</v>
      </c>
      <c r="N170" s="7" t="str">
        <f t="shared" si="8"/>
        <v>{"name": "Horsegate Barracks", "map": "Haven", "fCoords": "970, 5040", "waCoords": "982, 2138", "leaflet": "2187.432,  989.796", "pinType": "City Guard", "mapRef": "Map Ref.: C07 (PF)", "type": "City Guard", "description": "A City Watch station."},</v>
      </c>
    </row>
    <row r="171" spans="1:14" ht="30" x14ac:dyDescent="0.25">
      <c r="A171" s="7" t="s">
        <v>388</v>
      </c>
      <c r="B171" s="7" t="s">
        <v>1187</v>
      </c>
      <c r="C171" s="6">
        <v>2786</v>
      </c>
      <c r="D171" s="6">
        <v>5669</v>
      </c>
      <c r="E171" s="6" t="str">
        <f>IFERROR(VLOOKUP($A171,tWA[],5,FALSE),"--")</f>
        <v>--</v>
      </c>
      <c r="F171" s="6" t="str">
        <f>IFERROR(VLOOKUP($A171,tWA[],6,FALSE),"--")</f>
        <v>--</v>
      </c>
      <c r="G171" s="18" t="s">
        <v>1875</v>
      </c>
      <c r="H171" s="18">
        <f t="shared" si="6"/>
        <v>1545.5949999999998</v>
      </c>
      <c r="I171" s="18" t="str">
        <f t="shared" si="7"/>
        <v>1545.595,  2842.857</v>
      </c>
      <c r="J171" s="6" t="s">
        <v>1204</v>
      </c>
      <c r="K171" s="6" t="s">
        <v>389</v>
      </c>
      <c r="L171" s="6" t="s">
        <v>68</v>
      </c>
      <c r="M171" s="11" t="s">
        <v>1226</v>
      </c>
      <c r="N171" s="7" t="str">
        <f t="shared" si="8"/>
        <v>{"name": "Hotel d'Ville", "map": "Haven", "fCoords": "2786, 5669", "waCoords": "--, --", "leaflet": "1545.595,  2842.857", "pinType": "Inns &amp; Taverns", "mapRef": "Map Ref.: I05 (QT)", "type": "Tavern", "description": ""},</v>
      </c>
    </row>
    <row r="172" spans="1:14" ht="30" x14ac:dyDescent="0.25">
      <c r="A172" s="7" t="s">
        <v>1160</v>
      </c>
      <c r="B172" s="7" t="s">
        <v>1187</v>
      </c>
      <c r="C172" s="6">
        <v>2260</v>
      </c>
      <c r="D172" s="6">
        <v>4475</v>
      </c>
      <c r="E172" s="6" t="str">
        <f>IFERROR(VLOOKUP($A172,tWA[],5,FALSE),"--")</f>
        <v>--</v>
      </c>
      <c r="F172" s="6" t="str">
        <f>IFERROR(VLOOKUP($A172,tWA[],6,FALSE),"--")</f>
        <v>--</v>
      </c>
      <c r="G172" s="18" t="s">
        <v>1876</v>
      </c>
      <c r="H172" s="18">
        <f t="shared" si="6"/>
        <v>2763.962</v>
      </c>
      <c r="I172" s="18" t="str">
        <f t="shared" si="7"/>
        <v>2763.962,  2306.122</v>
      </c>
      <c r="J172" s="6" t="s">
        <v>70</v>
      </c>
      <c r="K172" s="6" t="s">
        <v>390</v>
      </c>
      <c r="L172" s="6" t="s">
        <v>132</v>
      </c>
      <c r="M172" s="11" t="s">
        <v>1226</v>
      </c>
      <c r="N172" s="7" t="str">
        <f t="shared" si="8"/>
        <v>{"name": "House and Garden of Thaddeus Chiselwick", "map": "Haven", "fCoords": "2260, 4475", "waCoords": "--, --", "leaflet": "2763.962,  2306.122", "pinType": "Residence", "mapRef": "Map Ref.: G09 (NY)", "type": "Large House", "description": ""},</v>
      </c>
    </row>
    <row r="173" spans="1:14" ht="30" x14ac:dyDescent="0.25">
      <c r="A173" s="7" t="s">
        <v>1161</v>
      </c>
      <c r="B173" s="7" t="s">
        <v>1187</v>
      </c>
      <c r="C173" s="6">
        <v>6350</v>
      </c>
      <c r="D173" s="6">
        <v>4473</v>
      </c>
      <c r="E173" s="6" t="str">
        <f>IFERROR(VLOOKUP($A173,tWA[],5,FALSE),"--")</f>
        <v>--</v>
      </c>
      <c r="F173" s="6" t="str">
        <f>IFERROR(VLOOKUP($A173,tWA[],6,FALSE),"--")</f>
        <v>--</v>
      </c>
      <c r="G173" s="18" t="s">
        <v>1877</v>
      </c>
      <c r="H173" s="18">
        <f t="shared" si="6"/>
        <v>2766.0029999999997</v>
      </c>
      <c r="I173" s="18" t="str">
        <f t="shared" si="7"/>
        <v>2766.003,  6479.592</v>
      </c>
      <c r="J173" s="6" t="s">
        <v>70</v>
      </c>
      <c r="K173" s="6" t="s">
        <v>391</v>
      </c>
      <c r="L173" s="6" t="s">
        <v>369</v>
      </c>
      <c r="M173" s="11" t="s">
        <v>1226</v>
      </c>
      <c r="N173" s="7" t="str">
        <f t="shared" si="8"/>
        <v>{"name": "House of Captain Emmanuel York", "map": "Haven", "fCoords": "6350, 4473", "waCoords": "--, --", "leaflet": "2766.003,  6479.592", "pinType": "Residence", "mapRef": "Map Ref.: V09 (BM)", "type": "House", "description": ""},</v>
      </c>
    </row>
    <row r="174" spans="1:14" ht="30" x14ac:dyDescent="0.25">
      <c r="A174" s="7" t="s">
        <v>1162</v>
      </c>
      <c r="B174" s="7" t="s">
        <v>1187</v>
      </c>
      <c r="C174" s="6">
        <v>4183</v>
      </c>
      <c r="D174" s="6">
        <v>6521</v>
      </c>
      <c r="E174" s="6" t="str">
        <f>IFERROR(VLOOKUP($A174,tWA[],5,FALSE),"--")</f>
        <v>--</v>
      </c>
      <c r="F174" s="6" t="str">
        <f>IFERROR(VLOOKUP($A174,tWA[],6,FALSE),"--")</f>
        <v>--</v>
      </c>
      <c r="G174" s="18" t="s">
        <v>1878</v>
      </c>
      <c r="H174" s="18">
        <f t="shared" si="6"/>
        <v>676.20699999999999</v>
      </c>
      <c r="I174" s="18" t="str">
        <f t="shared" si="7"/>
        <v>676.207,  4268.367</v>
      </c>
      <c r="J174" s="6" t="s">
        <v>70</v>
      </c>
      <c r="K174" s="6" t="s">
        <v>392</v>
      </c>
      <c r="L174" s="6" t="s">
        <v>369</v>
      </c>
      <c r="M174" s="11" t="s">
        <v>1226</v>
      </c>
      <c r="N174" s="7" t="str">
        <f t="shared" si="8"/>
        <v>{"name": "House of Fagin Childstealer", "map": "Haven", "fCoords": "4183, 6521", "waCoords": "--, --", "leaflet": "676.207,  4268.367", "pinType": "Residence", "mapRef": "Map Ref.: N02 (FZ)", "type": "House", "description": ""},</v>
      </c>
    </row>
    <row r="175" spans="1:14" ht="30" x14ac:dyDescent="0.25">
      <c r="A175" s="7" t="s">
        <v>393</v>
      </c>
      <c r="B175" s="7" t="s">
        <v>1187</v>
      </c>
      <c r="C175" s="6">
        <v>6366</v>
      </c>
      <c r="D175" s="6">
        <v>4657</v>
      </c>
      <c r="E175" s="6" t="str">
        <f>IFERROR(VLOOKUP($A175,tWA[],5,FALSE),"--")</f>
        <v>--</v>
      </c>
      <c r="F175" s="6" t="str">
        <f>IFERROR(VLOOKUP($A175,tWA[],6,FALSE),"--")</f>
        <v>--</v>
      </c>
      <c r="G175" s="18" t="s">
        <v>1879</v>
      </c>
      <c r="H175" s="18">
        <f t="shared" si="6"/>
        <v>2578.248</v>
      </c>
      <c r="I175" s="18" t="str">
        <f t="shared" si="7"/>
        <v>2578.248,  6495.918</v>
      </c>
      <c r="J175" s="6" t="s">
        <v>1218</v>
      </c>
      <c r="K175" s="6" t="s">
        <v>394</v>
      </c>
      <c r="L175" s="6" t="s">
        <v>62</v>
      </c>
      <c r="M175" s="11" t="s">
        <v>1226</v>
      </c>
      <c r="N175" s="7" t="str">
        <f t="shared" si="8"/>
        <v>{"name": "House of Fashion", "map": "Haven", "fCoords": "6366, 4657", "waCoords": "--, --", "leaflet": "2578.248,  6495.918", "pinType": "Shopping", "mapRef": "Map Ref.: V08 (AN)", "type": "General Clothing", "description": ""},</v>
      </c>
    </row>
    <row r="176" spans="1:14" ht="30" x14ac:dyDescent="0.25">
      <c r="A176" s="7" t="s">
        <v>395</v>
      </c>
      <c r="B176" s="7" t="s">
        <v>1187</v>
      </c>
      <c r="C176" s="6">
        <v>1031</v>
      </c>
      <c r="D176" s="6">
        <v>3745</v>
      </c>
      <c r="E176" s="6" t="str">
        <f>IFERROR(VLOOKUP($A176,tWA[],5,FALSE),"--")</f>
        <v>--</v>
      </c>
      <c r="F176" s="6" t="str">
        <f>IFERROR(VLOOKUP($A176,tWA[],6,FALSE),"--")</f>
        <v>--</v>
      </c>
      <c r="G176" s="18" t="s">
        <v>1880</v>
      </c>
      <c r="H176" s="18">
        <f t="shared" si="6"/>
        <v>3508.86</v>
      </c>
      <c r="I176" s="18" t="str">
        <f t="shared" si="7"/>
        <v>3508.86,  1052.041</v>
      </c>
      <c r="J176" s="6" t="s">
        <v>1218</v>
      </c>
      <c r="K176" s="6" t="s">
        <v>396</v>
      </c>
      <c r="L176" s="6" t="s">
        <v>126</v>
      </c>
      <c r="M176" s="11" t="s">
        <v>1226</v>
      </c>
      <c r="N176" s="7" t="str">
        <f t="shared" si="8"/>
        <v>{"name": "House of Flanderin", "map": "Haven", "fCoords": "1031, 3745", "waCoords": "--, --", "leaflet": "3508.86,  1052.041", "pinType": "Shopping", "mapRef": "Map Ref.: C11 (KY)", "type": "Textiles", "description": ""},</v>
      </c>
    </row>
    <row r="177" spans="1:14" ht="30" x14ac:dyDescent="0.25">
      <c r="A177" s="7" t="s">
        <v>397</v>
      </c>
      <c r="B177" s="7" t="s">
        <v>1187</v>
      </c>
      <c r="C177" s="6">
        <v>4035</v>
      </c>
      <c r="D177" s="6">
        <v>882</v>
      </c>
      <c r="E177" s="6" t="str">
        <f>IFERROR(VLOOKUP($A177,tWA[],5,FALSE),"--")</f>
        <v>--</v>
      </c>
      <c r="F177" s="6" t="str">
        <f>IFERROR(VLOOKUP($A177,tWA[],6,FALSE),"--")</f>
        <v>--</v>
      </c>
      <c r="G177" s="18" t="s">
        <v>1881</v>
      </c>
      <c r="H177" s="18">
        <f t="shared" si="6"/>
        <v>6430.2890000000007</v>
      </c>
      <c r="I177" s="18" t="str">
        <f t="shared" si="7"/>
        <v>6430.289,  4117.347</v>
      </c>
      <c r="J177" s="6" t="s">
        <v>1218</v>
      </c>
      <c r="K177" s="6" t="s">
        <v>398</v>
      </c>
      <c r="L177" s="6" t="s">
        <v>62</v>
      </c>
      <c r="M177" s="11" t="s">
        <v>1226</v>
      </c>
      <c r="N177" s="7" t="str">
        <f t="shared" si="8"/>
        <v>{"name": "House of Hanki", "map": "Haven", "fCoords": "4035, 882", "waCoords": "--, --", "leaflet": "6430.289,  4117.347", "pinType": "Shopping", "mapRef": "Map Ref.: N20 (TQ)", "type": "General Clothing", "description": ""},</v>
      </c>
    </row>
    <row r="178" spans="1:14" ht="30" x14ac:dyDescent="0.25">
      <c r="A178" s="7" t="s">
        <v>399</v>
      </c>
      <c r="B178" s="7" t="s">
        <v>1187</v>
      </c>
      <c r="C178" s="6">
        <v>5086</v>
      </c>
      <c r="D178" s="6">
        <v>2304</v>
      </c>
      <c r="E178" s="6" t="str">
        <f>IFERROR(VLOOKUP($A178,tWA[],5,FALSE),"--")</f>
        <v>--</v>
      </c>
      <c r="F178" s="6" t="str">
        <f>IFERROR(VLOOKUP($A178,tWA[],6,FALSE),"--")</f>
        <v>--</v>
      </c>
      <c r="G178" s="18" t="s">
        <v>1882</v>
      </c>
      <c r="H178" s="18">
        <f t="shared" si="6"/>
        <v>4979.268</v>
      </c>
      <c r="I178" s="18" t="str">
        <f t="shared" si="7"/>
        <v>4979.268,  5189.796</v>
      </c>
      <c r="J178" s="6" t="s">
        <v>1218</v>
      </c>
      <c r="K178" s="6" t="s">
        <v>401</v>
      </c>
      <c r="L178" s="6" t="s">
        <v>400</v>
      </c>
      <c r="M178" s="11" t="s">
        <v>1226</v>
      </c>
      <c r="N178" s="7" t="str">
        <f t="shared" si="8"/>
        <v>{"name": "House of Hofstra", "map": "Haven", "fCoords": "5086, 2304", "waCoords": "--, --", "leaflet": "4979.268,  5189.796", "pinType": "Shopping", "mapRef": "Map Ref.: Q16 (GC)", "type": "Banking", "description": ""},</v>
      </c>
    </row>
    <row r="179" spans="1:14" ht="30" x14ac:dyDescent="0.25">
      <c r="A179" s="7" t="s">
        <v>1163</v>
      </c>
      <c r="B179" s="7" t="s">
        <v>1187</v>
      </c>
      <c r="C179" s="6">
        <v>4775</v>
      </c>
      <c r="D179" s="6">
        <v>5931</v>
      </c>
      <c r="E179" s="6" t="str">
        <f>IFERROR(VLOOKUP($A179,tWA[],5,FALSE),"--")</f>
        <v>--</v>
      </c>
      <c r="F179" s="6" t="str">
        <f>IFERROR(VLOOKUP($A179,tWA[],6,FALSE),"--")</f>
        <v>--</v>
      </c>
      <c r="G179" s="18" t="s">
        <v>1883</v>
      </c>
      <c r="H179" s="18">
        <f t="shared" si="6"/>
        <v>1278.2479999999998</v>
      </c>
      <c r="I179" s="18" t="str">
        <f t="shared" si="7"/>
        <v>1278.248,  4872.449</v>
      </c>
      <c r="J179" s="6" t="s">
        <v>70</v>
      </c>
      <c r="K179" s="6" t="s">
        <v>402</v>
      </c>
      <c r="L179" s="6" t="s">
        <v>369</v>
      </c>
      <c r="M179" s="11" t="s">
        <v>1226</v>
      </c>
      <c r="N179" s="7" t="str">
        <f t="shared" si="8"/>
        <v>{"name": "House of Ivan and Sheela", "map": "Haven", "fCoords": "4775, 5931", "waCoords": "--, --", "leaflet": "1278.248,  4872.449", "pinType": "Residence", "mapRef": "Map Ref.: P04 (TF)", "type": "House", "description": ""},</v>
      </c>
    </row>
    <row r="180" spans="1:14" ht="30" x14ac:dyDescent="0.25">
      <c r="A180" s="7" t="s">
        <v>1164</v>
      </c>
      <c r="B180" s="7" t="s">
        <v>1187</v>
      </c>
      <c r="C180" s="6">
        <v>3615</v>
      </c>
      <c r="D180" s="6">
        <v>5671</v>
      </c>
      <c r="E180" s="6" t="str">
        <f>IFERROR(VLOOKUP($A180,tWA[],5,FALSE),"--")</f>
        <v>--</v>
      </c>
      <c r="F180" s="6" t="str">
        <f>IFERROR(VLOOKUP($A180,tWA[],6,FALSE),"--")</f>
        <v>--</v>
      </c>
      <c r="G180" s="18" t="s">
        <v>1884</v>
      </c>
      <c r="H180" s="18">
        <f t="shared" si="6"/>
        <v>1543.5539999999999</v>
      </c>
      <c r="I180" s="18" t="str">
        <f t="shared" si="7"/>
        <v>1543.554,  3688.776</v>
      </c>
      <c r="J180" s="6" t="s">
        <v>70</v>
      </c>
      <c r="K180" s="6" t="s">
        <v>403</v>
      </c>
      <c r="L180" s="6" t="s">
        <v>369</v>
      </c>
      <c r="M180" s="11" t="s">
        <v>1226</v>
      </c>
      <c r="N180" s="7" t="str">
        <f t="shared" si="8"/>
        <v>{"name": "House of Jurgan Bland", "map": "Haven", "fCoords": "3615, 5671", "waCoords": "--, --", "leaflet": "1543.554,  3688.776", "pinType": "Residence", "mapRef": "Map Ref.: L05 (FH)", "type": "House", "description": ""},</v>
      </c>
    </row>
    <row r="181" spans="1:14" ht="30" x14ac:dyDescent="0.25">
      <c r="A181" s="7" t="s">
        <v>404</v>
      </c>
      <c r="B181" s="7" t="s">
        <v>1187</v>
      </c>
      <c r="C181" s="6">
        <v>6497</v>
      </c>
      <c r="D181" s="6">
        <v>4730</v>
      </c>
      <c r="E181" s="6" t="str">
        <f>IFERROR(VLOOKUP($A181,tWA[],5,FALSE),"--")</f>
        <v>--</v>
      </c>
      <c r="F181" s="6" t="str">
        <f>IFERROR(VLOOKUP($A181,tWA[],6,FALSE),"--")</f>
        <v>--</v>
      </c>
      <c r="G181" s="18" t="s">
        <v>1885</v>
      </c>
      <c r="H181" s="18">
        <f t="shared" si="6"/>
        <v>2503.7579999999998</v>
      </c>
      <c r="I181" s="18" t="str">
        <f t="shared" si="7"/>
        <v>2503.758,  6629.592</v>
      </c>
      <c r="J181" s="6" t="s">
        <v>22</v>
      </c>
      <c r="K181" s="6" t="s">
        <v>405</v>
      </c>
      <c r="L181" s="6" t="s">
        <v>22</v>
      </c>
      <c r="M181" s="11" t="s">
        <v>1226</v>
      </c>
      <c r="N181" s="7" t="str">
        <f t="shared" si="8"/>
        <v>{"name": "House of Linneas Mauray", "map": "Haven", "fCoords": "6497, 4730", "waCoords": "--, --", "leaflet": "2503.758,  6629.592", "pinType": "Medical", "mapRef": "Map Ref.: V08 (BN)", "type": "Medical", "description": ""},</v>
      </c>
    </row>
    <row r="182" spans="1:14" ht="30" x14ac:dyDescent="0.25">
      <c r="A182" s="7" t="s">
        <v>1165</v>
      </c>
      <c r="B182" s="7" t="s">
        <v>1187</v>
      </c>
      <c r="C182" s="6">
        <v>2950</v>
      </c>
      <c r="D182" s="6">
        <v>4160</v>
      </c>
      <c r="E182" s="6" t="str">
        <f>IFERROR(VLOOKUP($A182,tWA[],5,FALSE),"--")</f>
        <v>--</v>
      </c>
      <c r="F182" s="6" t="str">
        <f>IFERROR(VLOOKUP($A182,tWA[],6,FALSE),"--")</f>
        <v>--</v>
      </c>
      <c r="G182" s="18" t="s">
        <v>1886</v>
      </c>
      <c r="H182" s="18">
        <f t="shared" si="6"/>
        <v>3085.3910000000001</v>
      </c>
      <c r="I182" s="18" t="str">
        <f t="shared" si="7"/>
        <v>3085.391,  3010.204</v>
      </c>
      <c r="J182" s="6" t="s">
        <v>70</v>
      </c>
      <c r="K182" s="6" t="s">
        <v>406</v>
      </c>
      <c r="L182" s="6" t="s">
        <v>369</v>
      </c>
      <c r="M182" s="11" t="s">
        <v>1226</v>
      </c>
      <c r="N182" s="7" t="str">
        <f t="shared" si="8"/>
        <v>{"name": "House of Lisa Duncan", "map": "Haven", "fCoords": "2950, 4160", "waCoords": "--, --", "leaflet": "3085.391,  3010.204", "pinType": "Residence", "mapRef": "Map Ref.: J10 (OD)", "type": "House", "description": ""},</v>
      </c>
    </row>
    <row r="183" spans="1:14" ht="30" x14ac:dyDescent="0.25">
      <c r="A183" s="7" t="s">
        <v>1166</v>
      </c>
      <c r="B183" s="7" t="s">
        <v>1187</v>
      </c>
      <c r="C183" s="6">
        <v>4290</v>
      </c>
      <c r="D183" s="6">
        <v>2372</v>
      </c>
      <c r="E183" s="6" t="str">
        <f>IFERROR(VLOOKUP($A183,tWA[],5,FALSE),"--")</f>
        <v>--</v>
      </c>
      <c r="F183" s="6" t="str">
        <f>IFERROR(VLOOKUP($A183,tWA[],6,FALSE),"--")</f>
        <v>--</v>
      </c>
      <c r="G183" s="18" t="s">
        <v>1887</v>
      </c>
      <c r="H183" s="18">
        <f t="shared" si="6"/>
        <v>4909.8810000000003</v>
      </c>
      <c r="I183" s="18" t="str">
        <f t="shared" si="7"/>
        <v>4909.881,  4377.551</v>
      </c>
      <c r="J183" s="6" t="s">
        <v>70</v>
      </c>
      <c r="K183" s="6" t="s">
        <v>407</v>
      </c>
      <c r="L183" s="6" t="s">
        <v>132</v>
      </c>
      <c r="M183" s="11" t="s">
        <v>1226</v>
      </c>
      <c r="N183" s="7" t="str">
        <f t="shared" si="8"/>
        <v>{"name": "House of Lucius Cardallo", "map": "Haven", "fCoords": "4290, 2372", "waCoords": "--, --", "leaflet": "4909.881,  4377.551", "pinType": "Residence", "mapRef": "Map Ref.: N16 (GY)", "type": "Large House", "description": ""},</v>
      </c>
    </row>
    <row r="184" spans="1:14" ht="30" x14ac:dyDescent="0.25">
      <c r="A184" s="7" t="s">
        <v>1167</v>
      </c>
      <c r="B184" s="7" t="s">
        <v>1187</v>
      </c>
      <c r="C184" s="6">
        <v>2383</v>
      </c>
      <c r="D184" s="6">
        <v>4803</v>
      </c>
      <c r="E184" s="6" t="str">
        <f>IFERROR(VLOOKUP($A184,tWA[],5,FALSE),"--")</f>
        <v>--</v>
      </c>
      <c r="F184" s="6" t="str">
        <f>IFERROR(VLOOKUP($A184,tWA[],6,FALSE),"--")</f>
        <v>--</v>
      </c>
      <c r="G184" s="18" t="s">
        <v>1888</v>
      </c>
      <c r="H184" s="18">
        <f t="shared" si="6"/>
        <v>2429.268</v>
      </c>
      <c r="I184" s="18" t="str">
        <f t="shared" si="7"/>
        <v>2429.268,  2431.633</v>
      </c>
      <c r="J184" s="6" t="s">
        <v>70</v>
      </c>
      <c r="K184" s="6" t="s">
        <v>408</v>
      </c>
      <c r="L184" s="6" t="s">
        <v>132</v>
      </c>
      <c r="M184" s="11" t="s">
        <v>1226</v>
      </c>
      <c r="N184" s="7" t="str">
        <f t="shared" si="8"/>
        <v>{"name": "House of Rael Gavotte", "map": "Haven", "fCoords": "2383, 4803", "waCoords": "--, --", "leaflet": "2429.268,  2431.633", "pinType": "Residence", "mapRef": "Map Ref.: H07 (MT)", "type": "Large House", "description": ""},</v>
      </c>
    </row>
    <row r="185" spans="1:14" ht="30" x14ac:dyDescent="0.25">
      <c r="A185" s="7" t="s">
        <v>409</v>
      </c>
      <c r="B185" s="7" t="s">
        <v>1187</v>
      </c>
      <c r="C185" s="6">
        <v>4927</v>
      </c>
      <c r="D185" s="6">
        <v>2373</v>
      </c>
      <c r="E185" s="6" t="str">
        <f>IFERROR(VLOOKUP($A185,tWA[],5,FALSE),"--")</f>
        <v>--</v>
      </c>
      <c r="F185" s="6" t="str">
        <f>IFERROR(VLOOKUP($A185,tWA[],6,FALSE),"--")</f>
        <v>--</v>
      </c>
      <c r="G185" s="18" t="s">
        <v>1889</v>
      </c>
      <c r="H185" s="18">
        <f t="shared" si="6"/>
        <v>4908.8600000000006</v>
      </c>
      <c r="I185" s="18" t="str">
        <f t="shared" si="7"/>
        <v>4908.86,  5027.551</v>
      </c>
      <c r="J185" s="6" t="s">
        <v>1218</v>
      </c>
      <c r="K185" s="6" t="s">
        <v>410</v>
      </c>
      <c r="L185" s="6" t="s">
        <v>400</v>
      </c>
      <c r="M185" s="11" t="s">
        <v>1226</v>
      </c>
      <c r="N185" s="7" t="str">
        <f t="shared" si="8"/>
        <v>{"name": "House of Rand", "map": "Haven", "fCoords": "4927, 2373", "waCoords": "--, --", "leaflet": "4908.86,  5027.551", "pinType": "Shopping", "mapRef": "Map Ref.: Q16 (GD)", "type": "Banking", "description": ""},</v>
      </c>
    </row>
    <row r="186" spans="1:14" ht="30" x14ac:dyDescent="0.25">
      <c r="A186" s="7" t="s">
        <v>411</v>
      </c>
      <c r="B186" s="7" t="s">
        <v>1187</v>
      </c>
      <c r="C186" s="6">
        <v>750</v>
      </c>
      <c r="D186" s="6">
        <v>4450</v>
      </c>
      <c r="E186" s="6" t="str">
        <f>IFERROR(VLOOKUP($A186,tWA[],5,FALSE),"--")</f>
        <v>--</v>
      </c>
      <c r="F186" s="6" t="str">
        <f>IFERROR(VLOOKUP($A186,tWA[],6,FALSE),"--")</f>
        <v>--</v>
      </c>
      <c r="G186" s="18" t="s">
        <v>1890</v>
      </c>
      <c r="H186" s="18">
        <f t="shared" si="6"/>
        <v>2789.4719999999998</v>
      </c>
      <c r="I186" s="18" t="str">
        <f t="shared" si="7"/>
        <v>2789.472,  765.306</v>
      </c>
      <c r="J186" s="6" t="s">
        <v>1677</v>
      </c>
      <c r="K186" s="6" t="s">
        <v>412</v>
      </c>
      <c r="L186" s="6" t="s">
        <v>222</v>
      </c>
      <c r="M186" s="11" t="s">
        <v>1226</v>
      </c>
      <c r="N186" s="7" t="str">
        <f t="shared" si="8"/>
        <v>{"name": "Hrubilasz Riding Academy", "map": "Haven", "fCoords": "750, 4450", "waCoords": "--, --", "leaflet": "2789.472,  765.306", "pinType": "Service", "mapRef": "Map Ref.: B09 (PT)", "type": "Training", "description": ""},</v>
      </c>
    </row>
    <row r="187" spans="1:14" ht="30" x14ac:dyDescent="0.25">
      <c r="A187" s="7" t="s">
        <v>413</v>
      </c>
      <c r="B187" s="7" t="s">
        <v>1187</v>
      </c>
      <c r="C187" s="6">
        <v>894</v>
      </c>
      <c r="D187" s="6">
        <v>4392</v>
      </c>
      <c r="E187" s="6" t="str">
        <f>IFERROR(VLOOKUP($A187,tWA[],5,FALSE),"--")</f>
        <v>--</v>
      </c>
      <c r="F187" s="6" t="str">
        <f>IFERROR(VLOOKUP($A187,tWA[],6,FALSE),"--")</f>
        <v>--</v>
      </c>
      <c r="G187" s="18" t="s">
        <v>1891</v>
      </c>
      <c r="H187" s="18">
        <f t="shared" si="6"/>
        <v>2848.6559999999999</v>
      </c>
      <c r="I187" s="18" t="str">
        <f t="shared" si="7"/>
        <v>2848.656,  912.245</v>
      </c>
      <c r="J187" s="6" t="s">
        <v>1677</v>
      </c>
      <c r="K187" s="6" t="s">
        <v>414</v>
      </c>
      <c r="L187" s="6" t="s">
        <v>108</v>
      </c>
      <c r="M187" s="11" t="s">
        <v>1226</v>
      </c>
      <c r="N187" s="7" t="str">
        <f t="shared" si="8"/>
        <v>{"name": "Hughar Wolfskill - trained canines", "map": "Haven", "fCoords": "894, 4392", "waCoords": "--, --", "leaflet": "2848.656,  912.245", "pinType": "Service", "mapRef": "Map Ref.: C09 (QZ)", "type": "Animal Trainer", "description": ""},</v>
      </c>
    </row>
    <row r="188" spans="1:14" ht="30" x14ac:dyDescent="0.25">
      <c r="A188" s="7" t="s">
        <v>415</v>
      </c>
      <c r="B188" s="7" t="s">
        <v>1187</v>
      </c>
      <c r="C188" s="6">
        <v>6790</v>
      </c>
      <c r="D188" s="6">
        <v>4902</v>
      </c>
      <c r="E188" s="6" t="str">
        <f>IFERROR(VLOOKUP($A188,tWA[],5,FALSE),"--")</f>
        <v>--</v>
      </c>
      <c r="F188" s="6" t="str">
        <f>IFERROR(VLOOKUP($A188,tWA[],6,FALSE),"--")</f>
        <v>--</v>
      </c>
      <c r="G188" s="18" t="s">
        <v>1892</v>
      </c>
      <c r="H188" s="18">
        <f t="shared" si="6"/>
        <v>2328.248</v>
      </c>
      <c r="I188" s="18" t="str">
        <f t="shared" si="7"/>
        <v>2328.248,  6928.571</v>
      </c>
      <c r="J188" s="6" t="s">
        <v>1218</v>
      </c>
      <c r="K188" s="6" t="s">
        <v>416</v>
      </c>
      <c r="L188" s="6" t="s">
        <v>126</v>
      </c>
      <c r="M188" s="11" t="s">
        <v>1226</v>
      </c>
      <c r="N188" s="7" t="str">
        <f t="shared" si="8"/>
        <v>{"name": "Hyrim's Looms", "map": "Haven", "fCoords": "6790, 4902", "waCoords": "--, --", "leaflet": "2328.248,  6928.571", "pinType": "Shopping", "mapRef": "Map Ref.: W07 (BW)", "type": "Textiles", "description": ""},</v>
      </c>
    </row>
    <row r="189" spans="1:14" ht="30" x14ac:dyDescent="0.25">
      <c r="A189" s="7" t="s">
        <v>417</v>
      </c>
      <c r="B189" s="7" t="s">
        <v>1187</v>
      </c>
      <c r="C189" s="6">
        <v>2262</v>
      </c>
      <c r="D189" s="6">
        <v>4367</v>
      </c>
      <c r="E189" s="6" t="str">
        <f>IFERROR(VLOOKUP($A189,tWA[],5,FALSE),"--")</f>
        <v>2259</v>
      </c>
      <c r="F189" s="6" t="str">
        <f>IFERROR(VLOOKUP($A189,tWA[],6,FALSE),"--")</f>
        <v>2820</v>
      </c>
      <c r="G189" s="18" t="s">
        <v>1893</v>
      </c>
      <c r="H189" s="18">
        <f t="shared" si="6"/>
        <v>2874.1659999999997</v>
      </c>
      <c r="I189" s="18" t="str">
        <f t="shared" si="7"/>
        <v>2874.166,  2308.163</v>
      </c>
      <c r="J189" s="6" t="s">
        <v>1678</v>
      </c>
      <c r="K189" s="6" t="s">
        <v>418</v>
      </c>
      <c r="L189" s="6" t="s">
        <v>135</v>
      </c>
      <c r="M189" s="11" t="s">
        <v>1369</v>
      </c>
      <c r="N189" s="7" t="str">
        <f t="shared" si="8"/>
        <v>{"name": "Illusionist's Park", "map": "Haven", "fCoords": "2262, 4367", "waCoords": "2259, 2820", "leaflet": "2874.166,  2308.163", "pinType": "Landmark", "mapRef": "Map Ref.: G09 (NI)", "type": "Park", "description": "A public park on Magic St."},</v>
      </c>
    </row>
    <row r="190" spans="1:14" ht="30" x14ac:dyDescent="0.25">
      <c r="A190" s="7" t="s">
        <v>419</v>
      </c>
      <c r="B190" s="7" t="s">
        <v>1187</v>
      </c>
      <c r="C190" s="6">
        <v>1044</v>
      </c>
      <c r="D190" s="6">
        <v>3840</v>
      </c>
      <c r="E190" s="6" t="str">
        <f>IFERROR(VLOOKUP($A190,tWA[],5,FALSE),"--")</f>
        <v>--</v>
      </c>
      <c r="F190" s="6" t="str">
        <f>IFERROR(VLOOKUP($A190,tWA[],6,FALSE),"--")</f>
        <v>--</v>
      </c>
      <c r="G190" s="18" t="s">
        <v>1894</v>
      </c>
      <c r="H190" s="18">
        <f t="shared" si="6"/>
        <v>3411.9209999999998</v>
      </c>
      <c r="I190" s="18" t="str">
        <f t="shared" si="7"/>
        <v>3411.921,  1065.306</v>
      </c>
      <c r="J190" s="6" t="s">
        <v>1218</v>
      </c>
      <c r="K190" s="6" t="s">
        <v>420</v>
      </c>
      <c r="L190" s="6" t="s">
        <v>229</v>
      </c>
      <c r="M190" s="11" t="s">
        <v>1226</v>
      </c>
      <c r="N190" s="7" t="str">
        <f t="shared" si="8"/>
        <v>{"name": "Ilrin the Bowyer", "map": "Haven", "fCoords": "1044, 3840", "waCoords": "--, --", "leaflet": "3411.921,  1065.306", "pinType": "Shopping", "mapRef": "Map Ref.: C11 (KZ)", "type": "Weapons", "description": ""},</v>
      </c>
    </row>
    <row r="191" spans="1:14" ht="45" x14ac:dyDescent="0.25">
      <c r="A191" s="7" t="s">
        <v>421</v>
      </c>
      <c r="B191" s="7" t="s">
        <v>1187</v>
      </c>
      <c r="C191" s="6">
        <v>1879</v>
      </c>
      <c r="D191" s="6">
        <v>3951</v>
      </c>
      <c r="E191" s="6" t="str">
        <f>IFERROR(VLOOKUP($A191,tWA[],5,FALSE),"--")</f>
        <v>1877</v>
      </c>
      <c r="F191" s="6" t="str">
        <f>IFERROR(VLOOKUP($A191,tWA[],6,FALSE),"--")</f>
        <v>3226</v>
      </c>
      <c r="G191" s="18" t="s">
        <v>1895</v>
      </c>
      <c r="H191" s="18">
        <f t="shared" si="6"/>
        <v>3298.6559999999999</v>
      </c>
      <c r="I191" s="18" t="str">
        <f t="shared" si="7"/>
        <v>3298.656,  1917.347</v>
      </c>
      <c r="J191" s="6" t="s">
        <v>1198</v>
      </c>
      <c r="K191" s="6" t="s">
        <v>422</v>
      </c>
      <c r="L191" s="6" t="s">
        <v>143</v>
      </c>
      <c r="M191" s="11" t="s">
        <v>1345</v>
      </c>
      <c r="N191" s="7" t="str">
        <f t="shared" si="8"/>
        <v>{"name": "Institute of Mathematics", "map": "Haven", "fCoords": "1879, 3951", "waCoords": "1877, 3226", "leaflet": "3298.656,  1917.347", "pinType": "Education", "mapRef": "Map Ref.: F10 (LQ)", "type": "University", "description": "Part of the University of Haven"},</v>
      </c>
    </row>
    <row r="192" spans="1:14" ht="30" x14ac:dyDescent="0.25">
      <c r="A192" s="7" t="s">
        <v>423</v>
      </c>
      <c r="B192" s="7" t="s">
        <v>1187</v>
      </c>
      <c r="C192" s="6">
        <v>1988</v>
      </c>
      <c r="D192" s="6">
        <v>4722</v>
      </c>
      <c r="E192" s="6" t="str">
        <f>IFERROR(VLOOKUP($A192,tWA[],5,FALSE),"--")</f>
        <v>--</v>
      </c>
      <c r="F192" s="6" t="str">
        <f>IFERROR(VLOOKUP($A192,tWA[],6,FALSE),"--")</f>
        <v>--</v>
      </c>
      <c r="G192" s="18" t="s">
        <v>1896</v>
      </c>
      <c r="H192" s="18">
        <f t="shared" si="6"/>
        <v>2511.9209999999998</v>
      </c>
      <c r="I192" s="18" t="str">
        <f t="shared" si="7"/>
        <v>2511.921,  2028.571</v>
      </c>
      <c r="J192" s="6" t="s">
        <v>1218</v>
      </c>
      <c r="K192" s="6" t="s">
        <v>424</v>
      </c>
      <c r="L192" s="6" t="s">
        <v>54</v>
      </c>
      <c r="M192" s="11" t="s">
        <v>1226</v>
      </c>
      <c r="N192" s="7" t="str">
        <f t="shared" si="8"/>
        <v>{"name": "Instruments 'n' Stuff", "map": "Haven", "fCoords": "1988, 4722", "waCoords": "--, --", "leaflet": "2511.921,  2028.571", "pinType": "Shopping", "mapRef": "Map Ref.: F08 (TR)", "type": "General Goods", "description": ""},</v>
      </c>
    </row>
    <row r="193" spans="1:14" ht="30" x14ac:dyDescent="0.25">
      <c r="A193" s="7" t="s">
        <v>425</v>
      </c>
      <c r="B193" s="7" t="s">
        <v>1187</v>
      </c>
      <c r="C193" s="6">
        <v>372</v>
      </c>
      <c r="D193" s="6">
        <v>3392</v>
      </c>
      <c r="E193" s="6" t="str">
        <f>IFERROR(VLOOKUP($A193,tWA[],5,FALSE),"--")</f>
        <v>367</v>
      </c>
      <c r="F193" s="6" t="str">
        <f>IFERROR(VLOOKUP($A193,tWA[],6,FALSE),"--")</f>
        <v>3762</v>
      </c>
      <c r="G193" s="18" t="s">
        <v>1897</v>
      </c>
      <c r="H193" s="18">
        <f t="shared" si="6"/>
        <v>3869.0639999999999</v>
      </c>
      <c r="I193" s="18" t="str">
        <f t="shared" si="7"/>
        <v>3869.064,  379.592</v>
      </c>
      <c r="J193" s="6" t="s">
        <v>9</v>
      </c>
      <c r="K193" s="6" t="s">
        <v>426</v>
      </c>
      <c r="L193" s="6" t="s">
        <v>9</v>
      </c>
      <c r="M193" s="11" t="s">
        <v>1340</v>
      </c>
      <c r="N193" s="7" t="str">
        <f t="shared" si="8"/>
        <v>{"name": "Iron Gate Barracks", "map": "Haven", "fCoords": "372, 3392", "waCoords": "367, 3762", "leaflet": "3869.064,  379.592", "pinType": "City Guard", "mapRef": "Map Ref.: A12 (KA)", "type": "City Guard", "description": "A City Watch station."},</v>
      </c>
    </row>
    <row r="194" spans="1:14" ht="30" x14ac:dyDescent="0.25">
      <c r="A194" s="7" t="s">
        <v>427</v>
      </c>
      <c r="B194" s="7" t="s">
        <v>1187</v>
      </c>
      <c r="C194" s="6">
        <v>4117</v>
      </c>
      <c r="D194" s="6">
        <v>4209</v>
      </c>
      <c r="E194" s="6" t="str">
        <f>IFERROR(VLOOKUP($A194,tWA[],5,FALSE),"--")</f>
        <v>--</v>
      </c>
      <c r="F194" s="6" t="str">
        <f>IFERROR(VLOOKUP($A194,tWA[],6,FALSE),"--")</f>
        <v>--</v>
      </c>
      <c r="G194" s="18" t="s">
        <v>1898</v>
      </c>
      <c r="H194" s="18">
        <f t="shared" si="6"/>
        <v>3035.3910000000001</v>
      </c>
      <c r="I194" s="18" t="str">
        <f t="shared" si="7"/>
        <v>3035.391,  4201.02</v>
      </c>
      <c r="J194" s="6" t="s">
        <v>1204</v>
      </c>
      <c r="K194" s="6" t="s">
        <v>428</v>
      </c>
      <c r="L194" s="6" t="s">
        <v>68</v>
      </c>
      <c r="M194" s="11" t="s">
        <v>1226</v>
      </c>
      <c r="N194" s="7" t="str">
        <f t="shared" si="8"/>
        <v>{"name": "Iron Phalanx", "map": "Haven", "fCoords": "4117, 4209", "waCoords": "--, --", "leaflet": "3035.391,  4201.02", "pinType": "Inns &amp; Taverns", "mapRef": "Map Ref.: N09 (SO)", "type": "Tavern", "description": ""},</v>
      </c>
    </row>
    <row r="195" spans="1:14" ht="30" x14ac:dyDescent="0.25">
      <c r="A195" s="7" t="s">
        <v>1128</v>
      </c>
      <c r="B195" s="7" t="s">
        <v>1187</v>
      </c>
      <c r="C195" s="6">
        <v>7138</v>
      </c>
      <c r="D195" s="6">
        <v>3825</v>
      </c>
      <c r="E195" s="6" t="str">
        <f>IFERROR(VLOOKUP($A195,tWA[],5,FALSE),"--")</f>
        <v>--</v>
      </c>
      <c r="F195" s="6" t="str">
        <f>IFERROR(VLOOKUP($A195,tWA[],6,FALSE),"--")</f>
        <v>--</v>
      </c>
      <c r="G195" s="18" t="s">
        <v>1899</v>
      </c>
      <c r="H195" s="18">
        <f t="shared" si="6"/>
        <v>3427.2280000000001</v>
      </c>
      <c r="I195" s="18" t="str">
        <f t="shared" si="7"/>
        <v>3427.228,  7283.673</v>
      </c>
      <c r="J195" s="6" t="s">
        <v>1218</v>
      </c>
      <c r="K195" s="6" t="s">
        <v>1129</v>
      </c>
      <c r="L195" s="6" t="s">
        <v>78</v>
      </c>
      <c r="M195" s="11" t="s">
        <v>1226</v>
      </c>
      <c r="N195" s="7" t="str">
        <f t="shared" si="8"/>
        <v>{"name": "Ironhoof Stables", "map": "Haven", "fCoords": "7138, 3825", "waCoords": "--, --", "leaflet": "3427.228,  7283.673", "pinType": "Shopping", "mapRef": "Map Ref.: X11 (PR)", "type": "Livestock", "description": ""},</v>
      </c>
    </row>
    <row r="196" spans="1:14" ht="30" x14ac:dyDescent="0.25">
      <c r="A196" s="7" t="s">
        <v>429</v>
      </c>
      <c r="B196" s="7" t="s">
        <v>1187</v>
      </c>
      <c r="C196" s="6">
        <v>6109</v>
      </c>
      <c r="D196" s="6">
        <v>5534</v>
      </c>
      <c r="E196" s="6" t="str">
        <f>IFERROR(VLOOKUP($A196,tWA[],5,FALSE),"--")</f>
        <v>--</v>
      </c>
      <c r="F196" s="6" t="str">
        <f>IFERROR(VLOOKUP($A196,tWA[],6,FALSE),"--")</f>
        <v>--</v>
      </c>
      <c r="G196" s="18" t="s">
        <v>1900</v>
      </c>
      <c r="H196" s="18">
        <f t="shared" ref="H196:H259" si="9">VALUE(_xlfn.TEXTBEFORE(G196,","))- 16.65</f>
        <v>1683.35</v>
      </c>
      <c r="I196" s="18" t="str">
        <f t="shared" ref="I196:I259" si="10">TEXT(H196, "####.###") &amp; ", " &amp; _xlfn.TEXTAFTER(G196,",")</f>
        <v>1683.35,  6233.673</v>
      </c>
      <c r="J196" s="6" t="s">
        <v>1218</v>
      </c>
      <c r="K196" s="6" t="s">
        <v>430</v>
      </c>
      <c r="L196" s="6" t="s">
        <v>65</v>
      </c>
      <c r="M196" s="11" t="s">
        <v>1226</v>
      </c>
      <c r="N196" s="7" t="str">
        <f t="shared" ref="N196:N259" si="11">"{""name"": """&amp;A196&amp;""", " &amp;
"""map"": """&amp;B196&amp;""", " &amp;
"""fCoords"": """&amp;C196&amp;", "&amp;D196&amp;""", " &amp;
"""waCoords"": """&amp;E196&amp;", "&amp;F196&amp;""", " &amp;
"""leaflet"": """ &amp; I196 &amp; """, " &amp;
"""pinType"": """ &amp; J196 &amp; """, " &amp;
"""mapRef"": """ &amp; K196 &amp; """, " &amp;
"""type"": """ &amp; L196 &amp; """, " &amp;
"""description"": """ &amp; M196 &amp; """},"</f>
        <v>{"name": "Jakkob the Sailmaker", "map": "Haven", "fCoords": "6109, 5534", "waCoords": "--, --", "leaflet": "1683.35,  6233.673", "pinType": "Shopping", "mapRef": "Map Ref.: U05 (AO)", "type": "Nautical Supplies", "description": ""},</v>
      </c>
    </row>
    <row r="197" spans="1:14" ht="30" x14ac:dyDescent="0.25">
      <c r="A197" s="7" t="s">
        <v>431</v>
      </c>
      <c r="B197" s="7" t="s">
        <v>1187</v>
      </c>
      <c r="C197" s="6">
        <v>4092</v>
      </c>
      <c r="D197" s="6">
        <v>3188</v>
      </c>
      <c r="E197" s="6" t="str">
        <f>IFERROR(VLOOKUP($A197,tWA[],5,FALSE),"--")</f>
        <v>--</v>
      </c>
      <c r="F197" s="6" t="str">
        <f>IFERROR(VLOOKUP($A197,tWA[],6,FALSE),"--")</f>
        <v>--</v>
      </c>
      <c r="G197" s="18" t="s">
        <v>1901</v>
      </c>
      <c r="H197" s="18">
        <f t="shared" si="9"/>
        <v>4077.2280000000001</v>
      </c>
      <c r="I197" s="18" t="str">
        <f t="shared" si="10"/>
        <v>4077.228,  4175.51</v>
      </c>
      <c r="J197" s="6" t="s">
        <v>1218</v>
      </c>
      <c r="K197" s="6" t="s">
        <v>432</v>
      </c>
      <c r="L197" s="6" t="s">
        <v>297</v>
      </c>
      <c r="M197" s="11" t="s">
        <v>1226</v>
      </c>
      <c r="N197" s="7" t="str">
        <f t="shared" si="11"/>
        <v>{"name": "Jarien the Jeweler", "map": "Haven", "fCoords": "4092, 3188", "waCoords": "--, --", "leaflet": "4077.228,  4175.51", "pinType": "Shopping", "mapRef": "Map Ref.: N13 (RJ)", "type": "Jeweler", "description": ""},</v>
      </c>
    </row>
    <row r="198" spans="1:14" ht="30" x14ac:dyDescent="0.25">
      <c r="A198" s="7" t="s">
        <v>433</v>
      </c>
      <c r="B198" s="7" t="s">
        <v>1187</v>
      </c>
      <c r="C198" s="6">
        <v>6154</v>
      </c>
      <c r="D198" s="6">
        <v>5643</v>
      </c>
      <c r="E198" s="6" t="str">
        <f>IFERROR(VLOOKUP($A198,tWA[],5,FALSE),"--")</f>
        <v>--</v>
      </c>
      <c r="F198" s="6" t="str">
        <f>IFERROR(VLOOKUP($A198,tWA[],6,FALSE),"--")</f>
        <v>--</v>
      </c>
      <c r="G198" s="18" t="s">
        <v>1902</v>
      </c>
      <c r="H198" s="18">
        <f t="shared" si="9"/>
        <v>1572.126</v>
      </c>
      <c r="I198" s="18" t="str">
        <f t="shared" si="10"/>
        <v>1572.126,  6279.592</v>
      </c>
      <c r="J198" s="6" t="s">
        <v>1218</v>
      </c>
      <c r="K198" s="6" t="s">
        <v>435</v>
      </c>
      <c r="L198" s="6" t="s">
        <v>434</v>
      </c>
      <c r="M198" s="11" t="s">
        <v>1226</v>
      </c>
      <c r="N198" s="7" t="str">
        <f t="shared" si="11"/>
        <v>{"name": "Jasmine's House of Tattoos", "map": "Haven", "fCoords": "6154, 5643", "waCoords": "--, --", "leaflet": "1572.126,  6279.592", "pinType": "Shopping", "mapRef": "Map Ref.: U05 (AG)", "type": "Tattoos", "description": ""},</v>
      </c>
    </row>
    <row r="199" spans="1:14" ht="30" x14ac:dyDescent="0.25">
      <c r="A199" s="7" t="s">
        <v>436</v>
      </c>
      <c r="B199" s="7" t="s">
        <v>1187</v>
      </c>
      <c r="C199" s="6">
        <v>2433</v>
      </c>
      <c r="D199" s="6">
        <v>6000</v>
      </c>
      <c r="E199" s="6" t="str">
        <f>IFERROR(VLOOKUP($A199,tWA[],5,FALSE),"--")</f>
        <v>2438</v>
      </c>
      <c r="F199" s="6" t="str">
        <f>IFERROR(VLOOKUP($A199,tWA[],6,FALSE),"--")</f>
        <v>1177</v>
      </c>
      <c r="G199" s="18" t="s">
        <v>1903</v>
      </c>
      <c r="H199" s="18">
        <f t="shared" si="9"/>
        <v>1207.8399999999999</v>
      </c>
      <c r="I199" s="18" t="str">
        <f t="shared" si="10"/>
        <v>1207.84,  2482.653</v>
      </c>
      <c r="J199" s="6" t="s">
        <v>9</v>
      </c>
      <c r="K199" s="6" t="s">
        <v>437</v>
      </c>
      <c r="L199" s="6" t="s">
        <v>9</v>
      </c>
      <c r="M199" s="11" t="s">
        <v>1340</v>
      </c>
      <c r="N199" s="7" t="str">
        <f t="shared" si="11"/>
        <v>{"name": "Judgement Gate Barracks", "map": "Haven", "fCoords": "2433, 6000", "waCoords": "2438, 1177", "leaflet": "1207.84,  2482.653", "pinType": "City Guard", "mapRef": "Map Ref.: H03 (PE)", "type": "City Guard", "description": "A City Watch station."},</v>
      </c>
    </row>
    <row r="200" spans="1:14" ht="30" x14ac:dyDescent="0.25">
      <c r="A200" s="7" t="s">
        <v>438</v>
      </c>
      <c r="B200" s="7" t="s">
        <v>1187</v>
      </c>
      <c r="C200" s="6">
        <v>3843</v>
      </c>
      <c r="D200" s="6">
        <v>4930</v>
      </c>
      <c r="E200" s="6" t="str">
        <f>IFERROR(VLOOKUP($A200,tWA[],5,FALSE),"--")</f>
        <v>--</v>
      </c>
      <c r="F200" s="6" t="str">
        <f>IFERROR(VLOOKUP($A200,tWA[],6,FALSE),"--")</f>
        <v>--</v>
      </c>
      <c r="G200" s="18" t="s">
        <v>1904</v>
      </c>
      <c r="H200" s="18">
        <f t="shared" si="9"/>
        <v>2299.6770000000001</v>
      </c>
      <c r="I200" s="18" t="str">
        <f t="shared" si="10"/>
        <v>2299.677,  3921.429</v>
      </c>
      <c r="J200" s="6" t="s">
        <v>1218</v>
      </c>
      <c r="K200" s="6" t="s">
        <v>440</v>
      </c>
      <c r="L200" s="6" t="s">
        <v>439</v>
      </c>
      <c r="M200" s="11" t="s">
        <v>1226</v>
      </c>
      <c r="N200" s="7" t="str">
        <f t="shared" si="11"/>
        <v>{"name": "Karki's Sweets and Flowers", "map": "Haven", "fCoords": "3843, 4930", "waCoords": "--, --", "leaflet": "2299.677,  3921.429", "pinType": "Shopping", "mapRef": "Map Ref.: M07 (DK)", "type": "Confectioner", "description": ""},</v>
      </c>
    </row>
    <row r="201" spans="1:14" ht="30" x14ac:dyDescent="0.25">
      <c r="A201" s="7" t="s">
        <v>441</v>
      </c>
      <c r="B201" s="7" t="s">
        <v>1187</v>
      </c>
      <c r="C201" s="6">
        <v>744</v>
      </c>
      <c r="D201" s="6">
        <v>2840</v>
      </c>
      <c r="E201" s="6" t="str">
        <f>IFERROR(VLOOKUP($A201,tWA[],5,FALSE),"--")</f>
        <v>--</v>
      </c>
      <c r="F201" s="6" t="str">
        <f>IFERROR(VLOOKUP($A201,tWA[],6,FALSE),"--")</f>
        <v>--</v>
      </c>
      <c r="G201" s="18" t="s">
        <v>1905</v>
      </c>
      <c r="H201" s="18">
        <f t="shared" si="9"/>
        <v>4432.33</v>
      </c>
      <c r="I201" s="18" t="str">
        <f t="shared" si="10"/>
        <v>4432.33,  759.184</v>
      </c>
      <c r="J201" s="6" t="s">
        <v>1197</v>
      </c>
      <c r="K201" s="6" t="s">
        <v>443</v>
      </c>
      <c r="L201" s="6" t="s">
        <v>442</v>
      </c>
      <c r="M201" s="11" t="s">
        <v>1226</v>
      </c>
      <c r="N201" s="7" t="str">
        <f t="shared" si="11"/>
        <v>{"name": "Katzi's Dwarven Deli", "map": "Haven", "fCoords": "744, 2840", "waCoords": "--, --", "leaflet": "4432.33,  759.184", "pinType": "Dining", "mapRef": "Map Ref.: B14 (IJ)", "type": "Restaurant", "description": ""},</v>
      </c>
    </row>
    <row r="202" spans="1:14" ht="30" x14ac:dyDescent="0.25">
      <c r="A202" s="7" t="s">
        <v>444</v>
      </c>
      <c r="B202" s="7" t="s">
        <v>1187</v>
      </c>
      <c r="C202" s="6">
        <v>4836</v>
      </c>
      <c r="D202" s="6">
        <v>3920</v>
      </c>
      <c r="E202" s="6" t="str">
        <f>IFERROR(VLOOKUP($A202,tWA[],5,FALSE),"--")</f>
        <v>--</v>
      </c>
      <c r="F202" s="6" t="str">
        <f>IFERROR(VLOOKUP($A202,tWA[],6,FALSE),"--")</f>
        <v>--</v>
      </c>
      <c r="G202" s="18" t="s">
        <v>1906</v>
      </c>
      <c r="H202" s="18">
        <f t="shared" si="9"/>
        <v>3330.2889999999998</v>
      </c>
      <c r="I202" s="18" t="str">
        <f t="shared" si="10"/>
        <v>3330.289,  4934.694</v>
      </c>
      <c r="J202" s="6" t="s">
        <v>1677</v>
      </c>
      <c r="K202" s="6" t="s">
        <v>446</v>
      </c>
      <c r="L202" s="6" t="s">
        <v>445</v>
      </c>
      <c r="M202" s="11" t="s">
        <v>1226</v>
      </c>
      <c r="N202" s="7" t="str">
        <f t="shared" si="11"/>
        <v>{"name": "Kazan the Mender", "map": "Haven", "fCoords": "4836, 3920", "waCoords": "--, --", "leaflet": "3330.289,  4934.694", "pinType": "Service", "mapRef": "Map Ref.: P10 (RL)", "type": "Repair", "description": ""},</v>
      </c>
    </row>
    <row r="203" spans="1:14" ht="30" x14ac:dyDescent="0.25">
      <c r="A203" s="7" t="s">
        <v>1168</v>
      </c>
      <c r="B203" s="7" t="s">
        <v>1187</v>
      </c>
      <c r="C203" s="6">
        <v>1398</v>
      </c>
      <c r="D203" s="6">
        <v>3718</v>
      </c>
      <c r="E203" s="6" t="str">
        <f>IFERROR(VLOOKUP($A203,tWA[],5,FALSE),"--")</f>
        <v>--</v>
      </c>
      <c r="F203" s="6" t="str">
        <f>IFERROR(VLOOKUP($A203,tWA[],6,FALSE),"--")</f>
        <v>--</v>
      </c>
      <c r="G203" s="18" t="s">
        <v>1907</v>
      </c>
      <c r="H203" s="18">
        <f t="shared" si="9"/>
        <v>3536.4110000000001</v>
      </c>
      <c r="I203" s="18" t="str">
        <f t="shared" si="10"/>
        <v>3536.411,  1426.531</v>
      </c>
      <c r="J203" s="6" t="s">
        <v>1218</v>
      </c>
      <c r="K203" s="6" t="s">
        <v>447</v>
      </c>
      <c r="L203" s="6" t="s">
        <v>57</v>
      </c>
      <c r="M203" s="11" t="s">
        <v>1226</v>
      </c>
      <c r="N203" s="7" t="str">
        <f t="shared" si="11"/>
        <v>{"name": "Keabler's Bakery", "map": "Haven", "fCoords": "1398, 3718", "waCoords": "--, --", "leaflet": "3536.411,  1426.531", "pinType": "Shopping", "mapRef": "Map Ref.: D11 (LB)", "type": "Baker", "description": ""},</v>
      </c>
    </row>
    <row r="204" spans="1:14" ht="30" x14ac:dyDescent="0.25">
      <c r="A204" s="7" t="s">
        <v>448</v>
      </c>
      <c r="B204" s="7" t="s">
        <v>1187</v>
      </c>
      <c r="C204" s="6">
        <v>2292</v>
      </c>
      <c r="D204" s="6">
        <v>1146</v>
      </c>
      <c r="E204" s="6" t="str">
        <f>IFERROR(VLOOKUP($A204,tWA[],5,FALSE),"--")</f>
        <v>--</v>
      </c>
      <c r="F204" s="6" t="str">
        <f>IFERROR(VLOOKUP($A204,tWA[],6,FALSE),"--")</f>
        <v>--</v>
      </c>
      <c r="G204" s="18" t="s">
        <v>1908</v>
      </c>
      <c r="H204" s="18">
        <f t="shared" si="9"/>
        <v>6160.9010000000007</v>
      </c>
      <c r="I204" s="18" t="str">
        <f t="shared" si="10"/>
        <v>6160.901,  2338.776</v>
      </c>
      <c r="J204" s="6" t="s">
        <v>1218</v>
      </c>
      <c r="K204" s="6" t="s">
        <v>450</v>
      </c>
      <c r="L204" s="6" t="s">
        <v>449</v>
      </c>
      <c r="M204" s="11" t="s">
        <v>1226</v>
      </c>
      <c r="N204" s="7" t="str">
        <f t="shared" si="11"/>
        <v>{"name": "Kelvar - Armorer", "map": "Haven", "fCoords": "2292, 1146", "waCoords": "--, --", "leaflet": "6160.901,  2338.776", "pinType": "Shopping", "mapRef": "Map Ref.: G20 (CP)", "type": "Armor", "description": ""},</v>
      </c>
    </row>
    <row r="205" spans="1:14" ht="30" x14ac:dyDescent="0.25">
      <c r="A205" s="7" t="s">
        <v>451</v>
      </c>
      <c r="B205" s="7" t="s">
        <v>1187</v>
      </c>
      <c r="C205" s="6">
        <v>4807</v>
      </c>
      <c r="D205" s="6">
        <v>5940</v>
      </c>
      <c r="E205" s="6" t="str">
        <f>IFERROR(VLOOKUP($A205,tWA[],5,FALSE),"--")</f>
        <v>--</v>
      </c>
      <c r="F205" s="6" t="str">
        <f>IFERROR(VLOOKUP($A205,tWA[],6,FALSE),"--")</f>
        <v>--</v>
      </c>
      <c r="G205" s="18" t="s">
        <v>1909</v>
      </c>
      <c r="H205" s="18">
        <f t="shared" si="9"/>
        <v>1269.0639999999999</v>
      </c>
      <c r="I205" s="18" t="str">
        <f t="shared" si="10"/>
        <v>1269.064,  4905.102</v>
      </c>
      <c r="J205" s="6" t="s">
        <v>1218</v>
      </c>
      <c r="K205" s="6" t="s">
        <v>452</v>
      </c>
      <c r="L205" s="6" t="s">
        <v>30</v>
      </c>
      <c r="M205" s="11" t="s">
        <v>1226</v>
      </c>
      <c r="N205" s="7" t="str">
        <f t="shared" si="11"/>
        <v>{"name": "Kelvin the Tinsmith", "map": "Haven", "fCoords": "4807, 5940", "waCoords": "--, --", "leaflet": "1269.064,  4905.102", "pinType": "Shopping", "mapRef": "Map Ref.: P04 (TB)", "type": "Metalwork", "description": ""},</v>
      </c>
    </row>
    <row r="206" spans="1:14" ht="30" x14ac:dyDescent="0.25">
      <c r="A206" s="7" t="s">
        <v>453</v>
      </c>
      <c r="B206" s="7" t="s">
        <v>1187</v>
      </c>
      <c r="C206" s="6">
        <v>1102</v>
      </c>
      <c r="D206" s="6">
        <v>5157</v>
      </c>
      <c r="E206" s="6" t="str">
        <f>IFERROR(VLOOKUP($A206,tWA[],5,FALSE),"--")</f>
        <v>--</v>
      </c>
      <c r="F206" s="6" t="str">
        <f>IFERROR(VLOOKUP($A206,tWA[],6,FALSE),"--")</f>
        <v>--</v>
      </c>
      <c r="G206" s="18" t="s">
        <v>1910</v>
      </c>
      <c r="H206" s="18">
        <f t="shared" si="9"/>
        <v>2068.0439999999999</v>
      </c>
      <c r="I206" s="18" t="str">
        <f t="shared" si="10"/>
        <v>2068.044,  1124.49</v>
      </c>
      <c r="J206" s="6" t="s">
        <v>1677</v>
      </c>
      <c r="K206" s="6" t="s">
        <v>455</v>
      </c>
      <c r="L206" s="6" t="s">
        <v>454</v>
      </c>
      <c r="M206" s="11" t="s">
        <v>1226</v>
      </c>
      <c r="N206" s="7" t="str">
        <f t="shared" si="11"/>
        <v>{"name": "Kenzo's Caravan Services", "map": "Haven", "fCoords": "1102, 5157", "waCoords": "--, --", "leaflet": "2068.044,  1124.49", "pinType": "Service", "mapRef": "Map Ref.: C06 (QE)", "type": "Caravan", "description": ""},</v>
      </c>
    </row>
    <row r="207" spans="1:14" ht="30" x14ac:dyDescent="0.25">
      <c r="A207" s="7" t="s">
        <v>456</v>
      </c>
      <c r="B207" s="7" t="s">
        <v>1187</v>
      </c>
      <c r="C207" s="6">
        <v>3400</v>
      </c>
      <c r="D207" s="6">
        <v>3795</v>
      </c>
      <c r="E207" s="6" t="str">
        <f>IFERROR(VLOOKUP($A207,tWA[],5,FALSE),"--")</f>
        <v>--</v>
      </c>
      <c r="F207" s="6" t="str">
        <f>IFERROR(VLOOKUP($A207,tWA[],6,FALSE),"--")</f>
        <v>--</v>
      </c>
      <c r="G207" s="18" t="s">
        <v>1911</v>
      </c>
      <c r="H207" s="18">
        <f t="shared" si="9"/>
        <v>3457.8399999999997</v>
      </c>
      <c r="I207" s="18" t="str">
        <f t="shared" si="10"/>
        <v>3457.84,  3469.388</v>
      </c>
      <c r="J207" s="6" t="s">
        <v>1677</v>
      </c>
      <c r="K207" s="6" t="s">
        <v>457</v>
      </c>
      <c r="L207" s="6" t="s">
        <v>33</v>
      </c>
      <c r="M207" s="11" t="s">
        <v>1226</v>
      </c>
      <c r="N207" s="7" t="str">
        <f t="shared" si="11"/>
        <v>{"name": "Keziniel - Scribe", "map": "Haven", "fCoords": "3400, 3795", "waCoords": "--, --", "leaflet": "3457.84,  3469.388", "pinType": "Service", "mapRef": "Map Ref.: K11 (JN)", "type": "Scribe", "description": ""},</v>
      </c>
    </row>
    <row r="208" spans="1:14" ht="30" x14ac:dyDescent="0.25">
      <c r="A208" s="7" t="s">
        <v>458</v>
      </c>
      <c r="B208" s="7" t="s">
        <v>1187</v>
      </c>
      <c r="C208" s="6">
        <v>464</v>
      </c>
      <c r="D208" s="6">
        <v>2735</v>
      </c>
      <c r="E208" s="6" t="str">
        <f>IFERROR(VLOOKUP($A208,tWA[],5,FALSE),"--")</f>
        <v>--</v>
      </c>
      <c r="F208" s="6" t="str">
        <f>IFERROR(VLOOKUP($A208,tWA[],6,FALSE),"--")</f>
        <v>--</v>
      </c>
      <c r="G208" s="18" t="s">
        <v>1912</v>
      </c>
      <c r="H208" s="18">
        <f t="shared" si="9"/>
        <v>4539.4720000000007</v>
      </c>
      <c r="I208" s="18" t="str">
        <f t="shared" si="10"/>
        <v>4539.472,  473.469</v>
      </c>
      <c r="J208" s="6" t="s">
        <v>1218</v>
      </c>
      <c r="K208" s="6" t="s">
        <v>459</v>
      </c>
      <c r="L208" s="6" t="s">
        <v>30</v>
      </c>
      <c r="M208" s="11" t="s">
        <v>1226</v>
      </c>
      <c r="N208" s="7" t="str">
        <f t="shared" si="11"/>
        <v>{"name": "Klekbek", "map": "Haven", "fCoords": "464, 2735", "waCoords": "--, --", "leaflet": "4539.472,  473.469", "pinType": "Shopping", "mapRef": "Map Ref.: A14 (IA)", "type": "Metalwork", "description": ""},</v>
      </c>
    </row>
    <row r="209" spans="1:14" ht="30" x14ac:dyDescent="0.25">
      <c r="A209" s="7" t="s">
        <v>460</v>
      </c>
      <c r="B209" s="7" t="s">
        <v>1187</v>
      </c>
      <c r="C209" s="6">
        <v>856</v>
      </c>
      <c r="D209" s="6">
        <v>3292</v>
      </c>
      <c r="E209" s="6" t="str">
        <f>IFERROR(VLOOKUP($A209,tWA[],5,FALSE),"--")</f>
        <v>--</v>
      </c>
      <c r="F209" s="6" t="str">
        <f>IFERROR(VLOOKUP($A209,tWA[],6,FALSE),"--")</f>
        <v>--</v>
      </c>
      <c r="G209" s="18" t="s">
        <v>1913</v>
      </c>
      <c r="H209" s="18">
        <f t="shared" si="9"/>
        <v>3971.105</v>
      </c>
      <c r="I209" s="18" t="str">
        <f t="shared" si="10"/>
        <v>3971.105,  873.469</v>
      </c>
      <c r="J209" s="6" t="s">
        <v>1218</v>
      </c>
      <c r="K209" s="6" t="s">
        <v>462</v>
      </c>
      <c r="L209" s="6" t="s">
        <v>461</v>
      </c>
      <c r="M209" s="11" t="s">
        <v>1226</v>
      </c>
      <c r="N209" s="7" t="str">
        <f t="shared" si="11"/>
        <v>{"name": "Kobri's Cobblery", "map": "Haven", "fCoords": "856, 3292", "waCoords": "--, --", "leaflet": "3971.105,  873.469", "pinType": "Shopping", "mapRef": "Map Ref.: B12 (KD)", "type": "Footwear", "description": ""},</v>
      </c>
    </row>
    <row r="210" spans="1:14" ht="30" x14ac:dyDescent="0.25">
      <c r="A210" s="7" t="s">
        <v>463</v>
      </c>
      <c r="B210" s="7" t="s">
        <v>1187</v>
      </c>
      <c r="C210" s="6">
        <v>705</v>
      </c>
      <c r="D210" s="6">
        <v>2737</v>
      </c>
      <c r="E210" s="6" t="str">
        <f>IFERROR(VLOOKUP($A210,tWA[],5,FALSE),"--")</f>
        <v>--</v>
      </c>
      <c r="F210" s="6" t="str">
        <f>IFERROR(VLOOKUP($A210,tWA[],6,FALSE),"--")</f>
        <v>--</v>
      </c>
      <c r="G210" s="18" t="s">
        <v>1914</v>
      </c>
      <c r="H210" s="18">
        <f t="shared" si="9"/>
        <v>4537.4320000000007</v>
      </c>
      <c r="I210" s="18" t="str">
        <f t="shared" si="10"/>
        <v>4537.432,  719.388</v>
      </c>
      <c r="J210" s="6" t="s">
        <v>1218</v>
      </c>
      <c r="K210" s="6" t="s">
        <v>464</v>
      </c>
      <c r="L210" s="6" t="s">
        <v>449</v>
      </c>
      <c r="M210" s="11" t="s">
        <v>1226</v>
      </c>
      <c r="N210" s="7" t="str">
        <f t="shared" si="11"/>
        <v>{"name": "Konig - Master Armorer", "map": "Haven", "fCoords": "705, 2737", "waCoords": "--, --", "leaflet": "4537.432,  719.388", "pinType": "Shopping", "mapRef": "Map Ref.: B14 (HQ)", "type": "Armor", "description": ""},</v>
      </c>
    </row>
    <row r="211" spans="1:14" ht="45" x14ac:dyDescent="0.25">
      <c r="A211" s="7" t="s">
        <v>465</v>
      </c>
      <c r="B211" s="7" t="s">
        <v>1187</v>
      </c>
      <c r="C211" s="6">
        <v>4743</v>
      </c>
      <c r="D211" s="6">
        <v>6167</v>
      </c>
      <c r="E211" s="6" t="str">
        <f>IFERROR(VLOOKUP($A211,tWA[],5,FALSE),"--")</f>
        <v>4745</v>
      </c>
      <c r="F211" s="6" t="str">
        <f>IFERROR(VLOOKUP($A211,tWA[],6,FALSE),"--")</f>
        <v>1024</v>
      </c>
      <c r="G211" s="18" t="s">
        <v>1915</v>
      </c>
      <c r="H211" s="18">
        <f t="shared" si="9"/>
        <v>1037.432</v>
      </c>
      <c r="I211" s="18" t="str">
        <f t="shared" si="10"/>
        <v>1037.432,  4839.796</v>
      </c>
      <c r="J211" s="6" t="s">
        <v>1678</v>
      </c>
      <c r="K211" s="6" t="s">
        <v>466</v>
      </c>
      <c r="L211" s="6" t="s">
        <v>238</v>
      </c>
      <c r="M211" s="11" t="s">
        <v>1370</v>
      </c>
      <c r="N211" s="7" t="str">
        <f t="shared" si="11"/>
        <v>{"name": "Kurgan's Hill Apex", "map": "Haven", "fCoords": "4743, 6167", "waCoords": "4745, 1024", "leaflet": "1037.432,  4839.796", "pinType": "Landmark", "mapRef": "Map Ref.: P03 (FO)", "type": "Other Landmark", "description": "The highest point on the south side of the river."},</v>
      </c>
    </row>
    <row r="212" spans="1:14" ht="45" x14ac:dyDescent="0.25">
      <c r="A212" s="7" t="s">
        <v>467</v>
      </c>
      <c r="B212" s="7" t="s">
        <v>1187</v>
      </c>
      <c r="C212" s="6">
        <v>3566</v>
      </c>
      <c r="D212" s="6">
        <v>5448</v>
      </c>
      <c r="E212" s="6" t="str">
        <f>IFERROR(VLOOKUP($A212,tWA[],5,FALSE),"--")</f>
        <v>3553</v>
      </c>
      <c r="F212" s="6" t="str">
        <f>IFERROR(VLOOKUP($A212,tWA[],6,FALSE),"--")</f>
        <v>1732</v>
      </c>
      <c r="G212" s="18" t="s">
        <v>1916</v>
      </c>
      <c r="H212" s="18">
        <f t="shared" si="9"/>
        <v>1771.105</v>
      </c>
      <c r="I212" s="18" t="str">
        <f t="shared" si="10"/>
        <v>1771.105,  3638.776</v>
      </c>
      <c r="J212" s="6" t="s">
        <v>1204</v>
      </c>
      <c r="K212" s="6" t="s">
        <v>468</v>
      </c>
      <c r="L212" s="6" t="s">
        <v>16</v>
      </c>
      <c r="M212" s="11" t="s">
        <v>1363</v>
      </c>
      <c r="N212" s="7" t="str">
        <f t="shared" si="11"/>
        <v>{"name": "Kurgan's Rout", "map": "Haven", "fCoords": "3566, 5448", "waCoords": "3553, 1732", "leaflet": "1771.105,  3638.776", "pinType": "Inns &amp; Taverns", "mapRef": "Map Ref.: L05 (EE)", "type": "Inn", "description": "One of the more well known inns/taverns in haven"},</v>
      </c>
    </row>
    <row r="213" spans="1:14" ht="30" x14ac:dyDescent="0.25">
      <c r="A213" s="7" t="s">
        <v>469</v>
      </c>
      <c r="B213" s="7" t="s">
        <v>1187</v>
      </c>
      <c r="C213" s="6">
        <v>444</v>
      </c>
      <c r="D213" s="6">
        <v>3973</v>
      </c>
      <c r="E213" s="6" t="str">
        <f>IFERROR(VLOOKUP($A213,tWA[],5,FALSE),"--")</f>
        <v>--</v>
      </c>
      <c r="F213" s="6" t="str">
        <f>IFERROR(VLOOKUP($A213,tWA[],6,FALSE),"--")</f>
        <v>--</v>
      </c>
      <c r="G213" s="18" t="s">
        <v>1917</v>
      </c>
      <c r="H213" s="18">
        <f t="shared" si="9"/>
        <v>3276.2069999999999</v>
      </c>
      <c r="I213" s="18" t="str">
        <f t="shared" si="10"/>
        <v>3276.207,  453.061</v>
      </c>
      <c r="J213" s="6" t="s">
        <v>1677</v>
      </c>
      <c r="K213" s="6" t="s">
        <v>470</v>
      </c>
      <c r="L213" s="6" t="s">
        <v>201</v>
      </c>
      <c r="M213" s="11" t="s">
        <v>1226</v>
      </c>
      <c r="N213" s="7" t="str">
        <f t="shared" si="11"/>
        <v>{"name": "Kwartz - Stonemason", "map": "Haven", "fCoords": "444, 3973", "waCoords": "--, --", "leaflet": "3276.207,  453.061", "pinType": "Service", "mapRef": "Map Ref.: A10 (KL)", "type": "Construction", "description": ""},</v>
      </c>
    </row>
    <row r="214" spans="1:14" ht="30" x14ac:dyDescent="0.25">
      <c r="A214" s="7" t="s">
        <v>471</v>
      </c>
      <c r="B214" s="7" t="s">
        <v>1187</v>
      </c>
      <c r="C214" s="6">
        <v>737</v>
      </c>
      <c r="D214" s="6">
        <v>2761</v>
      </c>
      <c r="E214" s="6" t="str">
        <f>IFERROR(VLOOKUP($A214,tWA[],5,FALSE),"--")</f>
        <v>--</v>
      </c>
      <c r="F214" s="6" t="str">
        <f>IFERROR(VLOOKUP($A214,tWA[],6,FALSE),"--")</f>
        <v>--</v>
      </c>
      <c r="G214" s="18" t="s">
        <v>1918</v>
      </c>
      <c r="H214" s="18">
        <f t="shared" si="9"/>
        <v>4512.942</v>
      </c>
      <c r="I214" s="18" t="str">
        <f t="shared" si="10"/>
        <v>4512.942,  752.041</v>
      </c>
      <c r="J214" s="6" t="s">
        <v>1218</v>
      </c>
      <c r="K214" s="6" t="s">
        <v>473</v>
      </c>
      <c r="L214" s="6" t="s">
        <v>472</v>
      </c>
      <c r="M214" s="11" t="s">
        <v>1226</v>
      </c>
      <c r="N214" s="7" t="str">
        <f t="shared" si="11"/>
        <v>{"name": "Lanella - Silversmith", "map": "Haven", "fCoords": "737, 2761", "waCoords": "--, --", "leaflet": "4512.942,  752.041", "pinType": "Shopping", "mapRef": "Map Ref.: B14 (KC)", "type": "Silversmith", "description": ""},</v>
      </c>
    </row>
    <row r="215" spans="1:14" ht="30" x14ac:dyDescent="0.25">
      <c r="A215" s="7" t="s">
        <v>474</v>
      </c>
      <c r="B215" s="7" t="s">
        <v>1187</v>
      </c>
      <c r="C215" s="6">
        <v>5828</v>
      </c>
      <c r="D215" s="6">
        <v>4337</v>
      </c>
      <c r="E215" s="6" t="str">
        <f>IFERROR(VLOOKUP($A215,tWA[],5,FALSE),"--")</f>
        <v>--</v>
      </c>
      <c r="F215" s="6" t="str">
        <f>IFERROR(VLOOKUP($A215,tWA[],6,FALSE),"--")</f>
        <v>--</v>
      </c>
      <c r="G215" s="18" t="s">
        <v>1919</v>
      </c>
      <c r="H215" s="18">
        <f t="shared" si="9"/>
        <v>2904.779</v>
      </c>
      <c r="I215" s="18" t="str">
        <f t="shared" si="10"/>
        <v>2904.779,  5946.939</v>
      </c>
      <c r="J215" s="6" t="s">
        <v>1677</v>
      </c>
      <c r="K215" s="6" t="s">
        <v>476</v>
      </c>
      <c r="L215" s="6" t="s">
        <v>475</v>
      </c>
      <c r="M215" s="11" t="s">
        <v>1226</v>
      </c>
      <c r="N215" s="7" t="str">
        <f t="shared" si="11"/>
        <v>{"name": "Lazarini's Baths", "map": "Haven", "fCoords": "5828, 4337", "waCoords": "--, --", "leaflet": "2904.779,  5946.939", "pinType": "Service", "mapRef": "Map Ref.: T09 (BP)", "type": "Other Services", "description": ""},</v>
      </c>
    </row>
    <row r="216" spans="1:14" ht="30" x14ac:dyDescent="0.25">
      <c r="A216" s="7" t="s">
        <v>477</v>
      </c>
      <c r="B216" s="7" t="s">
        <v>1187</v>
      </c>
      <c r="C216" s="6">
        <v>4928</v>
      </c>
      <c r="D216" s="6">
        <v>5416</v>
      </c>
      <c r="E216" s="6" t="str">
        <f>IFERROR(VLOOKUP($A216,tWA[],5,FALSE),"--")</f>
        <v>--</v>
      </c>
      <c r="F216" s="6" t="str">
        <f>IFERROR(VLOOKUP($A216,tWA[],6,FALSE),"--")</f>
        <v>--</v>
      </c>
      <c r="G216" s="18" t="s">
        <v>1920</v>
      </c>
      <c r="H216" s="18">
        <f t="shared" si="9"/>
        <v>1803.7579999999998</v>
      </c>
      <c r="I216" s="18" t="str">
        <f t="shared" si="10"/>
        <v>1803.758,  5028.571</v>
      </c>
      <c r="J216" s="6" t="s">
        <v>1218</v>
      </c>
      <c r="K216" s="6" t="s">
        <v>479</v>
      </c>
      <c r="L216" s="6" t="s">
        <v>478</v>
      </c>
      <c r="M216" s="11" t="s">
        <v>1226</v>
      </c>
      <c r="N216" s="7" t="str">
        <f t="shared" si="11"/>
        <v>{"name": "Lexington Fish Market", "map": "Haven", "fCoords": "4928, 5416", "waCoords": "--, --", "leaflet": "1803.758,  5028.571", "pinType": "Shopping", "mapRef": "Map Ref.: Q05 (EM)", "type": "Fishmonger", "description": ""},</v>
      </c>
    </row>
    <row r="217" spans="1:14" ht="30" x14ac:dyDescent="0.25">
      <c r="A217" s="7" t="s">
        <v>480</v>
      </c>
      <c r="B217" s="7" t="s">
        <v>1187</v>
      </c>
      <c r="C217" s="6">
        <v>4816</v>
      </c>
      <c r="D217" s="6">
        <v>5993</v>
      </c>
      <c r="E217" s="6" t="str">
        <f>IFERROR(VLOOKUP($A217,tWA[],5,FALSE),"--")</f>
        <v>--</v>
      </c>
      <c r="F217" s="6" t="str">
        <f>IFERROR(VLOOKUP($A217,tWA[],6,FALSE),"--")</f>
        <v>--</v>
      </c>
      <c r="G217" s="18" t="s">
        <v>1921</v>
      </c>
      <c r="H217" s="18">
        <f t="shared" si="9"/>
        <v>1214.9829999999999</v>
      </c>
      <c r="I217" s="18" t="str">
        <f t="shared" si="10"/>
        <v>1214.983,  4914.286</v>
      </c>
      <c r="J217" s="6" t="s">
        <v>1199</v>
      </c>
      <c r="K217" s="6" t="s">
        <v>481</v>
      </c>
      <c r="L217" s="6" t="s">
        <v>19</v>
      </c>
      <c r="M217" s="11" t="s">
        <v>1226</v>
      </c>
      <c r="N217" s="7" t="str">
        <f t="shared" si="11"/>
        <v>{"name": "Lilies of the Valley", "map": "Haven", "fCoords": "4816, 5993", "waCoords": "--, --", "leaflet": "1214.983,  4914.286", "pinType": "Entertainment", "mapRef": "Map Ref.: P03 (TC)", "type": "Brothel", "description": ""},</v>
      </c>
    </row>
    <row r="218" spans="1:14" ht="30" x14ac:dyDescent="0.25">
      <c r="A218" s="7" t="s">
        <v>482</v>
      </c>
      <c r="B218" s="7" t="s">
        <v>1187</v>
      </c>
      <c r="C218" s="6">
        <v>1470</v>
      </c>
      <c r="D218" s="6">
        <v>5363</v>
      </c>
      <c r="E218" s="6" t="str">
        <f>IFERROR(VLOOKUP($A218,tWA[],5,FALSE),"--")</f>
        <v>--</v>
      </c>
      <c r="F218" s="6" t="str">
        <f>IFERROR(VLOOKUP($A218,tWA[],6,FALSE),"--")</f>
        <v>--</v>
      </c>
      <c r="G218" s="18" t="s">
        <v>1922</v>
      </c>
      <c r="H218" s="18">
        <f t="shared" si="9"/>
        <v>1857.84</v>
      </c>
      <c r="I218" s="18" t="str">
        <f t="shared" si="10"/>
        <v>1857.84,  1500.</v>
      </c>
      <c r="J218" s="6" t="s">
        <v>1218</v>
      </c>
      <c r="K218" s="6" t="s">
        <v>483</v>
      </c>
      <c r="L218" s="6" t="s">
        <v>51</v>
      </c>
      <c r="M218" s="11" t="s">
        <v>1226</v>
      </c>
      <c r="N218" s="7" t="str">
        <f t="shared" si="11"/>
        <v>{"name": "Locks and Keys Made", "map": "Haven", "fCoords": "1470, 5363", "waCoords": "--, --", "leaflet": "1857.84,  1500.", "pinType": "Shopping", "mapRef": "Map Ref.: E06 (QJ)", "type": "Locksmith", "description": ""},</v>
      </c>
    </row>
    <row r="219" spans="1:14" ht="45" x14ac:dyDescent="0.25">
      <c r="A219" s="7" t="s">
        <v>484</v>
      </c>
      <c r="B219" s="7" t="s">
        <v>1187</v>
      </c>
      <c r="C219" s="6">
        <v>5246</v>
      </c>
      <c r="D219" s="6">
        <v>3465</v>
      </c>
      <c r="E219" s="6" t="str">
        <f>IFERROR(VLOOKUP($A219,tWA[],5,FALSE),"--")</f>
        <v>5246</v>
      </c>
      <c r="F219" s="6" t="str">
        <f>IFERROR(VLOOKUP($A219,tWA[],6,FALSE),"--")</f>
        <v>3719</v>
      </c>
      <c r="G219" s="18" t="s">
        <v>1923</v>
      </c>
      <c r="H219" s="18">
        <f t="shared" si="9"/>
        <v>3794.5740000000001</v>
      </c>
      <c r="I219" s="18" t="str">
        <f t="shared" si="10"/>
        <v>3794.574,  5353.061</v>
      </c>
      <c r="J219" s="6" t="s">
        <v>22</v>
      </c>
      <c r="K219" s="6" t="s">
        <v>485</v>
      </c>
      <c r="L219" s="6" t="s">
        <v>22</v>
      </c>
      <c r="M219" s="11" t="s">
        <v>1209</v>
      </c>
      <c r="N219" s="7" t="str">
        <f t="shared" si="11"/>
        <v>{"name": "Lohisian Place", "map": "Haven", "fCoords": "5246, 3465", "waCoords": "5246, 3719", "leaflet": "3794.574,  5353.061", "pinType": "Medical", "mapRef": "Map Ref.: R12 (TT)", "type": "Medical", "description": "This 'temple' to Lohi, Goddess of Healing, is in fact a working hospital"},</v>
      </c>
    </row>
    <row r="220" spans="1:14" ht="30" x14ac:dyDescent="0.25">
      <c r="A220" s="7" t="s">
        <v>486</v>
      </c>
      <c r="B220" s="7" t="s">
        <v>1187</v>
      </c>
      <c r="C220" s="6">
        <v>5990</v>
      </c>
      <c r="D220" s="6">
        <v>5266</v>
      </c>
      <c r="E220" s="6" t="str">
        <f>IFERROR(VLOOKUP($A220,tWA[],5,FALSE),"--")</f>
        <v>--</v>
      </c>
      <c r="F220" s="6" t="str">
        <f>IFERROR(VLOOKUP($A220,tWA[],6,FALSE),"--")</f>
        <v>--</v>
      </c>
      <c r="G220" s="18" t="s">
        <v>1924</v>
      </c>
      <c r="H220" s="18">
        <f t="shared" si="9"/>
        <v>1956.819</v>
      </c>
      <c r="I220" s="18" t="str">
        <f t="shared" si="10"/>
        <v>1956.819,  6112.245</v>
      </c>
      <c r="J220" s="6" t="s">
        <v>1677</v>
      </c>
      <c r="K220" s="6" t="s">
        <v>488</v>
      </c>
      <c r="L220" s="6" t="s">
        <v>487</v>
      </c>
      <c r="M220" s="11" t="s">
        <v>1226</v>
      </c>
      <c r="N220" s="7" t="str">
        <f t="shared" si="11"/>
        <v>{"name": "Longshoreman's Inc.", "map": "Haven", "fCoords": "5990, 5266", "waCoords": "--, --", "leaflet": "1956.819,  6112.245", "pinType": "Service", "mapRef": "Map Ref.: T06 (AZ)", "type": "Stevedores", "description": ""},</v>
      </c>
    </row>
    <row r="221" spans="1:14" ht="30" x14ac:dyDescent="0.25">
      <c r="A221" s="7" t="s">
        <v>489</v>
      </c>
      <c r="B221" s="7" t="s">
        <v>1187</v>
      </c>
      <c r="C221" s="6">
        <v>3284</v>
      </c>
      <c r="D221" s="6">
        <v>3858</v>
      </c>
      <c r="E221" s="6" t="str">
        <f>IFERROR(VLOOKUP($A221,tWA[],5,FALSE),"--")</f>
        <v>--</v>
      </c>
      <c r="F221" s="6" t="str">
        <f>IFERROR(VLOOKUP($A221,tWA[],6,FALSE),"--")</f>
        <v>--</v>
      </c>
      <c r="G221" s="18" t="s">
        <v>1925</v>
      </c>
      <c r="H221" s="18">
        <f t="shared" si="9"/>
        <v>3393.5540000000001</v>
      </c>
      <c r="I221" s="18" t="str">
        <f t="shared" si="10"/>
        <v>3393.554,  3351.02</v>
      </c>
      <c r="J221" s="6" t="s">
        <v>1218</v>
      </c>
      <c r="K221" s="6" t="s">
        <v>491</v>
      </c>
      <c r="L221" s="6" t="s">
        <v>490</v>
      </c>
      <c r="M221" s="11" t="s">
        <v>1226</v>
      </c>
      <c r="N221" s="7" t="str">
        <f t="shared" si="11"/>
        <v>{"name": "Lorien Leathergoods", "map": "Haven", "fCoords": "3284, 3858", "waCoords": "--, --", "leaflet": "3393.554,  3351.02", "pinType": "Shopping", "mapRef": "Map Ref.: K11 (JC)", "type": "Leatherworker", "description": ""},</v>
      </c>
    </row>
    <row r="222" spans="1:14" ht="30" x14ac:dyDescent="0.25">
      <c r="A222" s="7" t="s">
        <v>492</v>
      </c>
      <c r="B222" s="7" t="s">
        <v>1187</v>
      </c>
      <c r="C222" s="6">
        <v>3988</v>
      </c>
      <c r="D222" s="6">
        <v>4333</v>
      </c>
      <c r="E222" s="6" t="str">
        <f>IFERROR(VLOOKUP($A222,tWA[],5,FALSE),"--")</f>
        <v>--</v>
      </c>
      <c r="F222" s="6" t="str">
        <f>IFERROR(VLOOKUP($A222,tWA[],6,FALSE),"--")</f>
        <v>--</v>
      </c>
      <c r="G222" s="18" t="s">
        <v>1926</v>
      </c>
      <c r="H222" s="18">
        <f t="shared" si="9"/>
        <v>2908.86</v>
      </c>
      <c r="I222" s="18" t="str">
        <f t="shared" si="10"/>
        <v>2908.86,  4069.388</v>
      </c>
      <c r="J222" s="6" t="s">
        <v>1204</v>
      </c>
      <c r="K222" s="6" t="s">
        <v>493</v>
      </c>
      <c r="L222" s="6" t="s">
        <v>68</v>
      </c>
      <c r="M222" s="11" t="s">
        <v>1226</v>
      </c>
      <c r="N222" s="7" t="str">
        <f t="shared" si="11"/>
        <v>{"name": "Ludwig's Brauhaus", "map": "Haven", "fCoords": "3988, 4333", "waCoords": "--, --", "leaflet": "2908.86,  4069.388", "pinType": "Inns &amp; Taverns", "mapRef": "Map Ref.: M09 (UA)", "type": "Tavern", "description": ""},</v>
      </c>
    </row>
    <row r="223" spans="1:14" ht="30" x14ac:dyDescent="0.25">
      <c r="A223" s="7" t="s">
        <v>494</v>
      </c>
      <c r="B223" s="7" t="s">
        <v>1187</v>
      </c>
      <c r="C223" s="6">
        <v>2253</v>
      </c>
      <c r="D223" s="6">
        <v>4773</v>
      </c>
      <c r="E223" s="6" t="str">
        <f>IFERROR(VLOOKUP($A223,tWA[],5,FALSE),"--")</f>
        <v>--</v>
      </c>
      <c r="F223" s="6" t="str">
        <f>IFERROR(VLOOKUP($A223,tWA[],6,FALSE),"--")</f>
        <v>--</v>
      </c>
      <c r="G223" s="18" t="s">
        <v>1927</v>
      </c>
      <c r="H223" s="18">
        <f t="shared" si="9"/>
        <v>2459.8809999999999</v>
      </c>
      <c r="I223" s="18" t="str">
        <f t="shared" si="10"/>
        <v>2459.881,  2298.98</v>
      </c>
      <c r="J223" s="6" t="s">
        <v>1218</v>
      </c>
      <c r="K223" s="6" t="s">
        <v>495</v>
      </c>
      <c r="L223" s="6" t="s">
        <v>198</v>
      </c>
      <c r="M223" s="11" t="s">
        <v>1226</v>
      </c>
      <c r="N223" s="7" t="str">
        <f t="shared" si="11"/>
        <v>{"name": "Lutes and Viols", "map": "Haven", "fCoords": "2253, 4773", "waCoords": "--, --", "leaflet": "2459.881,  2298.98", "pinType": "Shopping", "mapRef": "Map Ref.: G08 (MO)", "type": "Musical Instruments", "description": ""},</v>
      </c>
    </row>
    <row r="224" spans="1:14" ht="30" x14ac:dyDescent="0.25">
      <c r="A224" s="7" t="s">
        <v>496</v>
      </c>
      <c r="B224" s="7" t="s">
        <v>1187</v>
      </c>
      <c r="C224" s="6">
        <v>3890</v>
      </c>
      <c r="D224" s="6">
        <v>3987</v>
      </c>
      <c r="E224" s="6" t="str">
        <f>IFERROR(VLOOKUP($A224,tWA[],5,FALSE),"--")</f>
        <v>--</v>
      </c>
      <c r="F224" s="6" t="str">
        <f>IFERROR(VLOOKUP($A224,tWA[],6,FALSE),"--")</f>
        <v>--</v>
      </c>
      <c r="G224" s="18" t="s">
        <v>1928</v>
      </c>
      <c r="H224" s="18">
        <f t="shared" si="9"/>
        <v>3261.9209999999998</v>
      </c>
      <c r="I224" s="18" t="str">
        <f t="shared" si="10"/>
        <v>3261.921,  3969.388</v>
      </c>
      <c r="J224" s="6" t="s">
        <v>1680</v>
      </c>
      <c r="K224" s="6" t="s">
        <v>497</v>
      </c>
      <c r="L224" s="6" t="s">
        <v>273</v>
      </c>
      <c r="M224" s="11" t="s">
        <v>1226</v>
      </c>
      <c r="N224" s="7" t="str">
        <f t="shared" si="11"/>
        <v>{"name": "Lydian House", "map": "Haven", "fCoords": "3890, 3987", "waCoords": "--, --", "leaflet": "3261.921,  3969.388", "pinType": "Guild", "mapRef": "Map Ref.: M10 (UB)", "type": "Guildhouse", "description": ""},</v>
      </c>
    </row>
    <row r="225" spans="1:14" ht="30" x14ac:dyDescent="0.25">
      <c r="A225" s="7" t="s">
        <v>498</v>
      </c>
      <c r="B225" s="7" t="s">
        <v>1187</v>
      </c>
      <c r="C225" s="6">
        <v>2253</v>
      </c>
      <c r="D225" s="6">
        <v>1044</v>
      </c>
      <c r="E225" s="6" t="str">
        <f>IFERROR(VLOOKUP($A225,tWA[],5,FALSE),"--")</f>
        <v>--</v>
      </c>
      <c r="F225" s="6" t="str">
        <f>IFERROR(VLOOKUP($A225,tWA[],6,FALSE),"--")</f>
        <v>--</v>
      </c>
      <c r="G225" s="18" t="s">
        <v>1929</v>
      </c>
      <c r="H225" s="18">
        <f t="shared" si="9"/>
        <v>6264.9830000000002</v>
      </c>
      <c r="I225" s="18" t="str">
        <f t="shared" si="10"/>
        <v>6264.983,  2298.98</v>
      </c>
      <c r="J225" s="6" t="s">
        <v>1218</v>
      </c>
      <c r="K225" s="6" t="s">
        <v>499</v>
      </c>
      <c r="L225" s="6" t="s">
        <v>229</v>
      </c>
      <c r="M225" s="11" t="s">
        <v>1226</v>
      </c>
      <c r="N225" s="7" t="str">
        <f t="shared" si="11"/>
        <v>{"name": "Maas Turkar - Weaponeer", "map": "Haven", "fCoords": "2253, 1044", "waCoords": "--, --", "leaflet": "6264.983,  2298.98", "pinType": "Shopping", "mapRef": "Map Ref.: G20 (CO)", "type": "Weapons", "description": ""},</v>
      </c>
    </row>
    <row r="226" spans="1:14" ht="30" x14ac:dyDescent="0.25">
      <c r="A226" s="7" t="s">
        <v>500</v>
      </c>
      <c r="B226" s="7" t="s">
        <v>1187</v>
      </c>
      <c r="C226" s="6">
        <v>3841</v>
      </c>
      <c r="D226" s="6">
        <v>5149</v>
      </c>
      <c r="E226" s="6" t="str">
        <f>IFERROR(VLOOKUP($A226,tWA[],5,FALSE),"--")</f>
        <v>--</v>
      </c>
      <c r="F226" s="6" t="str">
        <f>IFERROR(VLOOKUP($A226,tWA[],6,FALSE),"--")</f>
        <v>--</v>
      </c>
      <c r="G226" s="18" t="s">
        <v>1930</v>
      </c>
      <c r="H226" s="18">
        <f t="shared" si="9"/>
        <v>2076.2069999999999</v>
      </c>
      <c r="I226" s="18" t="str">
        <f t="shared" si="10"/>
        <v>2076.207,  3919.388</v>
      </c>
      <c r="J226" s="6" t="s">
        <v>1218</v>
      </c>
      <c r="K226" s="6" t="s">
        <v>501</v>
      </c>
      <c r="L226" s="6" t="s">
        <v>241</v>
      </c>
      <c r="M226" s="11" t="s">
        <v>1226</v>
      </c>
      <c r="N226" s="7" t="str">
        <f t="shared" si="11"/>
        <v>{"name": "Madame Ruth's", "map": "Haven", "fCoords": "3841, 5149", "waCoords": "--, --", "leaflet": "2076.207,  3919.388", "pinType": "Shopping", "mapRef": "Map Ref.: M06 (DY)", "type": "Magic", "description": ""},</v>
      </c>
    </row>
    <row r="227" spans="1:14" ht="30" x14ac:dyDescent="0.25">
      <c r="A227" s="7" t="s">
        <v>502</v>
      </c>
      <c r="B227" s="7" t="s">
        <v>1187</v>
      </c>
      <c r="C227" s="6">
        <v>3789</v>
      </c>
      <c r="D227" s="6">
        <v>6147</v>
      </c>
      <c r="E227" s="6" t="str">
        <f>IFERROR(VLOOKUP($A227,tWA[],5,FALSE),"--")</f>
        <v>--</v>
      </c>
      <c r="F227" s="6" t="str">
        <f>IFERROR(VLOOKUP($A227,tWA[],6,FALSE),"--")</f>
        <v>--</v>
      </c>
      <c r="G227" s="18" t="s">
        <v>1931</v>
      </c>
      <c r="H227" s="18">
        <f t="shared" si="9"/>
        <v>1057.8399999999999</v>
      </c>
      <c r="I227" s="18" t="str">
        <f t="shared" si="10"/>
        <v>1057.84,  3866.327</v>
      </c>
      <c r="J227" s="6" t="s">
        <v>1218</v>
      </c>
      <c r="K227" s="6" t="s">
        <v>503</v>
      </c>
      <c r="L227" s="6" t="s">
        <v>241</v>
      </c>
      <c r="M227" s="11" t="s">
        <v>1226</v>
      </c>
      <c r="N227" s="7" t="str">
        <f t="shared" si="11"/>
        <v>{"name": "Madame Zanwig's", "map": "Haven", "fCoords": "3789, 6147", "waCoords": "--, --", "leaflet": "1057.84,  3866.327", "pinType": "Shopping", "mapRef": "Map Ref.: M03 (TE)", "type": "Magic", "description": ""},</v>
      </c>
    </row>
    <row r="228" spans="1:14" ht="30" x14ac:dyDescent="0.25">
      <c r="A228" s="7" t="s">
        <v>504</v>
      </c>
      <c r="B228" s="7" t="s">
        <v>1187</v>
      </c>
      <c r="C228" s="6">
        <v>3822</v>
      </c>
      <c r="D228" s="6">
        <v>6111</v>
      </c>
      <c r="E228" s="6" t="str">
        <f>IFERROR(VLOOKUP($A228,tWA[],5,FALSE),"--")</f>
        <v>--</v>
      </c>
      <c r="F228" s="6" t="str">
        <f>IFERROR(VLOOKUP($A228,tWA[],6,FALSE),"--")</f>
        <v>--</v>
      </c>
      <c r="G228" s="18" t="s">
        <v>1932</v>
      </c>
      <c r="H228" s="18">
        <f t="shared" si="9"/>
        <v>1094.5739999999998</v>
      </c>
      <c r="I228" s="18" t="str">
        <f t="shared" si="10"/>
        <v>1094.574,  3900.</v>
      </c>
      <c r="J228" s="6" t="s">
        <v>1218</v>
      </c>
      <c r="K228" s="6" t="s">
        <v>505</v>
      </c>
      <c r="L228" s="6" t="s">
        <v>241</v>
      </c>
      <c r="M228" s="11" t="s">
        <v>1226</v>
      </c>
      <c r="N228" s="7" t="str">
        <f t="shared" si="11"/>
        <v>{"name": "Madame Zaurig - Oracle", "map": "Haven", "fCoords": "3822, 6111", "waCoords": "--, --", "leaflet": "1094.574,  3900.", "pinType": "Shopping", "mapRef": "Map Ref.: M03 (FD)", "type": "Magic", "description": ""},</v>
      </c>
    </row>
    <row r="229" spans="1:14" ht="30" x14ac:dyDescent="0.25">
      <c r="A229" s="7" t="s">
        <v>506</v>
      </c>
      <c r="B229" s="7" t="s">
        <v>1187</v>
      </c>
      <c r="C229" s="6">
        <v>2687</v>
      </c>
      <c r="D229" s="6">
        <v>1306</v>
      </c>
      <c r="E229" s="6" t="str">
        <f>IFERROR(VLOOKUP($A229,tWA[],5,FALSE),"--")</f>
        <v>--</v>
      </c>
      <c r="F229" s="6" t="str">
        <f>IFERROR(VLOOKUP($A229,tWA[],6,FALSE),"--")</f>
        <v>--</v>
      </c>
      <c r="G229" s="18" t="s">
        <v>1933</v>
      </c>
      <c r="H229" s="18">
        <f t="shared" si="9"/>
        <v>5997.6360000000004</v>
      </c>
      <c r="I229" s="18" t="str">
        <f t="shared" si="10"/>
        <v>5997.636,  2741.837</v>
      </c>
      <c r="J229" s="6" t="s">
        <v>70</v>
      </c>
      <c r="K229" s="6" t="s">
        <v>507</v>
      </c>
      <c r="L229" s="6" t="s">
        <v>71</v>
      </c>
      <c r="M229" s="11" t="s">
        <v>1226</v>
      </c>
      <c r="N229" s="7" t="str">
        <f t="shared" si="11"/>
        <v>{"name": "Maggia Family Residence", "map": "Haven", "fCoords": "2687, 1306", "waCoords": "--, --", "leaflet": "5997.636,  2741.837", "pinType": "Residence", "mapRef": "Map Ref.: I19 (CV)", "type": "Mansion", "description": ""},</v>
      </c>
    </row>
    <row r="230" spans="1:14" ht="30" x14ac:dyDescent="0.25">
      <c r="A230" s="7" t="s">
        <v>508</v>
      </c>
      <c r="B230" s="7" t="s">
        <v>1187</v>
      </c>
      <c r="C230" s="6">
        <v>2316</v>
      </c>
      <c r="D230" s="6">
        <v>4450</v>
      </c>
      <c r="E230" s="6" t="str">
        <f>IFERROR(VLOOKUP($A230,tWA[],5,FALSE),"--")</f>
        <v>--</v>
      </c>
      <c r="F230" s="6" t="str">
        <f>IFERROR(VLOOKUP($A230,tWA[],6,FALSE),"--")</f>
        <v>--</v>
      </c>
      <c r="G230" s="18" t="s">
        <v>1934</v>
      </c>
      <c r="H230" s="18">
        <f t="shared" si="9"/>
        <v>2789.4719999999998</v>
      </c>
      <c r="I230" s="18" t="str">
        <f t="shared" si="10"/>
        <v>2789.472,  2363.265</v>
      </c>
      <c r="J230" s="6" t="s">
        <v>1218</v>
      </c>
      <c r="K230" s="6" t="s">
        <v>509</v>
      </c>
      <c r="L230" s="6" t="s">
        <v>306</v>
      </c>
      <c r="M230" s="11" t="s">
        <v>1226</v>
      </c>
      <c r="N230" s="7" t="str">
        <f t="shared" si="11"/>
        <v>{"name": "Magic Books and Scrolls", "map": "Haven", "fCoords": "2316, 4450", "waCoords": "--, --", "leaflet": "2789.472,  2363.265", "pinType": "Shopping", "mapRef": "Map Ref.: H09 (ND)", "type": "Written Word", "description": ""},</v>
      </c>
    </row>
    <row r="231" spans="1:14" ht="30" x14ac:dyDescent="0.25">
      <c r="A231" s="7" t="s">
        <v>510</v>
      </c>
      <c r="B231" s="7" t="s">
        <v>1187</v>
      </c>
      <c r="C231" s="6">
        <v>788</v>
      </c>
      <c r="D231" s="6">
        <v>3355</v>
      </c>
      <c r="E231" s="6" t="str">
        <f>IFERROR(VLOOKUP($A231,tWA[],5,FALSE),"--")</f>
        <v>--</v>
      </c>
      <c r="F231" s="6" t="str">
        <f>IFERROR(VLOOKUP($A231,tWA[],6,FALSE),"--")</f>
        <v>--</v>
      </c>
      <c r="G231" s="18" t="s">
        <v>1935</v>
      </c>
      <c r="H231" s="18">
        <f t="shared" si="9"/>
        <v>3906.819</v>
      </c>
      <c r="I231" s="18" t="str">
        <f t="shared" si="10"/>
        <v>3906.819,  804.082</v>
      </c>
      <c r="J231" s="6" t="s">
        <v>1218</v>
      </c>
      <c r="K231" s="6" t="s">
        <v>511</v>
      </c>
      <c r="L231" s="6" t="s">
        <v>229</v>
      </c>
      <c r="M231" s="11" t="s">
        <v>1226</v>
      </c>
      <c r="N231" s="7" t="str">
        <f t="shared" si="11"/>
        <v>{"name": "Mahti - Weaponeer", "map": "Haven", "fCoords": "788, 3355", "waCoords": "--, --", "leaflet": "3906.819,  804.082", "pinType": "Shopping", "mapRef": "Map Ref.: B12 (HP)", "type": "Weapons", "description": ""},</v>
      </c>
    </row>
    <row r="232" spans="1:14" ht="30" x14ac:dyDescent="0.25">
      <c r="A232" s="7" t="s">
        <v>512</v>
      </c>
      <c r="B232" s="7" t="s">
        <v>1187</v>
      </c>
      <c r="C232" s="6">
        <v>835</v>
      </c>
      <c r="D232" s="6">
        <v>2787</v>
      </c>
      <c r="E232" s="6" t="str">
        <f>IFERROR(VLOOKUP($A232,tWA[],5,FALSE),"--")</f>
        <v>--</v>
      </c>
      <c r="F232" s="6" t="str">
        <f>IFERROR(VLOOKUP($A232,tWA[],6,FALSE),"--")</f>
        <v>--</v>
      </c>
      <c r="G232" s="18" t="s">
        <v>1936</v>
      </c>
      <c r="H232" s="18">
        <f t="shared" si="9"/>
        <v>4486.4110000000001</v>
      </c>
      <c r="I232" s="18" t="str">
        <f t="shared" si="10"/>
        <v>4486.411,  852.041</v>
      </c>
      <c r="J232" s="6" t="s">
        <v>1218</v>
      </c>
      <c r="K232" s="6" t="s">
        <v>513</v>
      </c>
      <c r="L232" s="6" t="s">
        <v>297</v>
      </c>
      <c r="M232" s="11" t="s">
        <v>1226</v>
      </c>
      <c r="N232" s="7" t="str">
        <f t="shared" si="11"/>
        <v>{"name": "Malakki - Jewelsmith", "map": "Haven", "fCoords": "835, 2787", "waCoords": "--, --", "leaflet": "4486.411,  852.041", "pinType": "Shopping", "mapRef": "Map Ref.: B14 (HX)", "type": "Jeweler", "description": ""},</v>
      </c>
    </row>
    <row r="233" spans="1:14" ht="30" x14ac:dyDescent="0.25">
      <c r="A233" s="7" t="s">
        <v>514</v>
      </c>
      <c r="B233" s="7" t="s">
        <v>1187</v>
      </c>
      <c r="C233" s="6">
        <v>409</v>
      </c>
      <c r="D233" s="6">
        <v>3827</v>
      </c>
      <c r="E233" s="6" t="str">
        <f>IFERROR(VLOOKUP($A233,tWA[],5,FALSE),"--")</f>
        <v>--</v>
      </c>
      <c r="F233" s="6" t="str">
        <f>IFERROR(VLOOKUP($A233,tWA[],6,FALSE),"--")</f>
        <v>--</v>
      </c>
      <c r="G233" s="18" t="s">
        <v>1937</v>
      </c>
      <c r="H233" s="18">
        <f t="shared" si="9"/>
        <v>3425.1869999999999</v>
      </c>
      <c r="I233" s="18" t="str">
        <f t="shared" si="10"/>
        <v>3425.187,  417.347</v>
      </c>
      <c r="J233" s="6" t="s">
        <v>1218</v>
      </c>
      <c r="K233" s="6" t="s">
        <v>515</v>
      </c>
      <c r="L233" s="6" t="s">
        <v>306</v>
      </c>
      <c r="M233" s="11" t="s">
        <v>1226</v>
      </c>
      <c r="N233" s="7" t="str">
        <f t="shared" si="11"/>
        <v>{"name": "Malbar Printing and Bindery", "map": "Haven", "fCoords": "409, 3827", "waCoords": "--, --", "leaflet": "3425.187,  417.347", "pinType": "Shopping", "mapRef": "Map Ref.: A11 (KH)", "type": "Written Word", "description": ""},</v>
      </c>
    </row>
    <row r="234" spans="1:14" ht="30" x14ac:dyDescent="0.25">
      <c r="A234" s="7" t="s">
        <v>516</v>
      </c>
      <c r="B234" s="7" t="s">
        <v>1187</v>
      </c>
      <c r="C234" s="6">
        <v>3678</v>
      </c>
      <c r="D234" s="6">
        <v>5847</v>
      </c>
      <c r="E234" s="6" t="str">
        <f>IFERROR(VLOOKUP($A234,tWA[],5,FALSE),"--")</f>
        <v>--</v>
      </c>
      <c r="F234" s="6" t="str">
        <f>IFERROR(VLOOKUP($A234,tWA[],6,FALSE),"--")</f>
        <v>--</v>
      </c>
      <c r="G234" s="18" t="s">
        <v>1938</v>
      </c>
      <c r="H234" s="18">
        <f t="shared" si="9"/>
        <v>1363.962</v>
      </c>
      <c r="I234" s="18" t="str">
        <f t="shared" si="10"/>
        <v>1363.962,  3753.061</v>
      </c>
      <c r="J234" s="6" t="s">
        <v>1218</v>
      </c>
      <c r="K234" s="6" t="s">
        <v>517</v>
      </c>
      <c r="L234" s="6" t="s">
        <v>208</v>
      </c>
      <c r="M234" s="11" t="s">
        <v>1226</v>
      </c>
      <c r="N234" s="7" t="str">
        <f t="shared" si="11"/>
        <v>{"name": "Malikor's Exchange", "map": "Haven", "fCoords": "3678, 5847", "waCoords": "--, --", "leaflet": "1363.962,  3753.061", "pinType": "Shopping", "mapRef": "Map Ref.: L04 (FM)", "type": "Pawnbroker", "description": ""},</v>
      </c>
    </row>
    <row r="235" spans="1:14" ht="30" x14ac:dyDescent="0.25">
      <c r="A235" s="7" t="s">
        <v>518</v>
      </c>
      <c r="B235" s="7" t="s">
        <v>1187</v>
      </c>
      <c r="C235" s="6">
        <v>6831</v>
      </c>
      <c r="D235" s="6">
        <v>4978</v>
      </c>
      <c r="E235" s="6" t="str">
        <f>IFERROR(VLOOKUP($A235,tWA[],5,FALSE),"--")</f>
        <v>--</v>
      </c>
      <c r="F235" s="6" t="str">
        <f>IFERROR(VLOOKUP($A235,tWA[],6,FALSE),"--")</f>
        <v>--</v>
      </c>
      <c r="G235" s="18" t="s">
        <v>1939</v>
      </c>
      <c r="H235" s="18">
        <f t="shared" si="9"/>
        <v>2250.6970000000001</v>
      </c>
      <c r="I235" s="18" t="str">
        <f t="shared" si="10"/>
        <v>2250.697,  6970.408</v>
      </c>
      <c r="J235" s="6" t="s">
        <v>1218</v>
      </c>
      <c r="K235" s="6" t="s">
        <v>519</v>
      </c>
      <c r="L235" s="6" t="s">
        <v>461</v>
      </c>
      <c r="M235" s="11" t="s">
        <v>1226</v>
      </c>
      <c r="N235" s="7" t="str">
        <f t="shared" si="11"/>
        <v>{"name": "Malin Kenny - Cobbler", "map": "Haven", "fCoords": "6831, 4978", "waCoords": "--, --", "leaflet": "2250.697,  6970.408", "pinType": "Shopping", "mapRef": "Map Ref.: W07 (BV)", "type": "Footwear", "description": ""},</v>
      </c>
    </row>
    <row r="236" spans="1:14" ht="30" x14ac:dyDescent="0.25">
      <c r="A236" s="7" t="s">
        <v>520</v>
      </c>
      <c r="B236" s="7" t="s">
        <v>1187</v>
      </c>
      <c r="C236" s="6">
        <v>3887</v>
      </c>
      <c r="D236" s="6">
        <v>4951</v>
      </c>
      <c r="E236" s="6" t="str">
        <f>IFERROR(VLOOKUP($A236,tWA[],5,FALSE),"--")</f>
        <v>--</v>
      </c>
      <c r="F236" s="6" t="str">
        <f>IFERROR(VLOOKUP($A236,tWA[],6,FALSE),"--")</f>
        <v>--</v>
      </c>
      <c r="G236" s="18" t="s">
        <v>1940</v>
      </c>
      <c r="H236" s="18">
        <f t="shared" si="9"/>
        <v>2278.248</v>
      </c>
      <c r="I236" s="18" t="str">
        <f t="shared" si="10"/>
        <v>2278.248,  3966.327</v>
      </c>
      <c r="J236" s="6" t="s">
        <v>70</v>
      </c>
      <c r="K236" s="6" t="s">
        <v>521</v>
      </c>
      <c r="L236" s="6" t="s">
        <v>117</v>
      </c>
      <c r="M236" s="11" t="s">
        <v>1226</v>
      </c>
      <c r="N236" s="7" t="str">
        <f t="shared" si="11"/>
        <v>{"name": "Mama Rosa's Rooming House", "map": "Haven", "fCoords": "3887, 4951", "waCoords": "--, --", "leaflet": "2278.248,  3966.327", "pinType": "Residence", "mapRef": "Map Ref.: M07 (DO)", "type": "Rooming House", "description": ""},</v>
      </c>
    </row>
    <row r="237" spans="1:14" ht="30" x14ac:dyDescent="0.25">
      <c r="A237" s="7" t="s">
        <v>522</v>
      </c>
      <c r="B237" s="7" t="s">
        <v>1187</v>
      </c>
      <c r="C237" s="6">
        <v>3179</v>
      </c>
      <c r="D237" s="6">
        <v>3906</v>
      </c>
      <c r="E237" s="6" t="str">
        <f>IFERROR(VLOOKUP($A237,tWA[],5,FALSE),"--")</f>
        <v>--</v>
      </c>
      <c r="F237" s="6" t="str">
        <f>IFERROR(VLOOKUP($A237,tWA[],6,FALSE),"--")</f>
        <v>--</v>
      </c>
      <c r="G237" s="18" t="s">
        <v>1941</v>
      </c>
      <c r="H237" s="18">
        <f t="shared" si="9"/>
        <v>3344.5740000000001</v>
      </c>
      <c r="I237" s="18" t="str">
        <f t="shared" si="10"/>
        <v>3344.574,  3243.878</v>
      </c>
      <c r="J237" s="6" t="s">
        <v>1218</v>
      </c>
      <c r="K237" s="6" t="s">
        <v>523</v>
      </c>
      <c r="L237" s="6" t="s">
        <v>62</v>
      </c>
      <c r="M237" s="11" t="s">
        <v>1226</v>
      </c>
      <c r="N237" s="7" t="str">
        <f t="shared" si="11"/>
        <v>{"name": "Manalla - Seamstress", "map": "Haven", "fCoords": "3179, 3906", "waCoords": "--, --", "leaflet": "3344.574,  3243.878", "pinType": "Shopping", "mapRef": "Map Ref.: K10 (JT)", "type": "General Clothing", "description": ""},</v>
      </c>
    </row>
    <row r="238" spans="1:14" ht="30" x14ac:dyDescent="0.25">
      <c r="A238" s="7" t="s">
        <v>524</v>
      </c>
      <c r="B238" s="7" t="s">
        <v>1187</v>
      </c>
      <c r="C238" s="6">
        <v>3491</v>
      </c>
      <c r="D238" s="6">
        <v>5429</v>
      </c>
      <c r="E238" s="6" t="str">
        <f>IFERROR(VLOOKUP($A238,tWA[],5,FALSE),"--")</f>
        <v>3476</v>
      </c>
      <c r="F238" s="6" t="str">
        <f>IFERROR(VLOOKUP($A238,tWA[],6,FALSE),"--")</f>
        <v>1743</v>
      </c>
      <c r="G238" s="18" t="s">
        <v>1942</v>
      </c>
      <c r="H238" s="18">
        <f t="shared" si="9"/>
        <v>1790.4929999999999</v>
      </c>
      <c r="I238" s="18" t="str">
        <f t="shared" si="10"/>
        <v>1790.493,  3562.245</v>
      </c>
      <c r="J238" s="6" t="s">
        <v>9</v>
      </c>
      <c r="K238" s="6" t="s">
        <v>525</v>
      </c>
      <c r="L238" s="6" t="s">
        <v>9</v>
      </c>
      <c r="M238" s="11" t="s">
        <v>1340</v>
      </c>
      <c r="N238" s="7" t="str">
        <f t="shared" si="11"/>
        <v>{"name": "Market Barracks", "map": "Haven", "fCoords": "3491, 5429", "waCoords": "3476, 1743", "leaflet": "1790.493,  3562.245", "pinType": "City Guard", "mapRef": "Map Ref.: L05 (EF)", "type": "City Guard", "description": "A City Watch station."},</v>
      </c>
    </row>
    <row r="239" spans="1:14" ht="30" x14ac:dyDescent="0.25">
      <c r="A239" s="7" t="s">
        <v>526</v>
      </c>
      <c r="B239" s="7" t="s">
        <v>1187</v>
      </c>
      <c r="C239" s="6">
        <v>622</v>
      </c>
      <c r="D239" s="6">
        <v>2895</v>
      </c>
      <c r="E239" s="6" t="str">
        <f>IFERROR(VLOOKUP($A239,tWA[],5,FALSE),"--")</f>
        <v>--</v>
      </c>
      <c r="F239" s="6" t="str">
        <f>IFERROR(VLOOKUP($A239,tWA[],6,FALSE),"--")</f>
        <v>--</v>
      </c>
      <c r="G239" s="18" t="s">
        <v>1943</v>
      </c>
      <c r="H239" s="18">
        <f t="shared" si="9"/>
        <v>4376.2070000000003</v>
      </c>
      <c r="I239" s="18" t="str">
        <f t="shared" si="10"/>
        <v>4376.207,  634.694</v>
      </c>
      <c r="J239" s="6" t="s">
        <v>1218</v>
      </c>
      <c r="K239" s="6" t="s">
        <v>528</v>
      </c>
      <c r="L239" s="6" t="s">
        <v>527</v>
      </c>
      <c r="M239" s="11" t="s">
        <v>1226</v>
      </c>
      <c r="N239" s="7" t="str">
        <f t="shared" si="11"/>
        <v>{"name": "Martin Metals", "map": "Haven", "fCoords": "622, 2895", "waCoords": "--, --", "leaflet": "4376.207,  634.694", "pinType": "Shopping", "mapRef": "Map Ref.: B14 (HS)", "type": "Artist", "description": ""},</v>
      </c>
    </row>
    <row r="240" spans="1:14" ht="45" x14ac:dyDescent="0.25">
      <c r="A240" s="7" t="s">
        <v>529</v>
      </c>
      <c r="B240" s="7" t="s">
        <v>1187</v>
      </c>
      <c r="C240" s="6">
        <v>4590</v>
      </c>
      <c r="D240" s="6">
        <v>2287</v>
      </c>
      <c r="E240" s="6" t="str">
        <f>IFERROR(VLOOKUP($A240,tWA[],5,FALSE),"--")</f>
        <v>4580</v>
      </c>
      <c r="F240" s="6" t="str">
        <f>IFERROR(VLOOKUP($A240,tWA[],6,FALSE),"--")</f>
        <v>4899</v>
      </c>
      <c r="G240" s="18" t="s">
        <v>1944</v>
      </c>
      <c r="H240" s="18">
        <f t="shared" si="9"/>
        <v>4996.6150000000007</v>
      </c>
      <c r="I240" s="18" t="str">
        <f t="shared" si="10"/>
        <v>4996.615,  4683.673</v>
      </c>
      <c r="J240" s="6" t="s">
        <v>338</v>
      </c>
      <c r="K240" s="6" t="s">
        <v>530</v>
      </c>
      <c r="L240" s="6" t="s">
        <v>338</v>
      </c>
      <c r="M240" s="11" t="s">
        <v>1350</v>
      </c>
      <c r="N240" s="7" t="str">
        <f t="shared" si="11"/>
        <v>{"name": "Mayor's Palace", "map": "Haven", "fCoords": "4590, 2287", "waCoords": "4580, 4899", "leaflet": "4996.615,  4683.673", "pinType": "Government", "mapRef": "Map Ref.: O16 (HI)", "type": "Government", "description": "Where the mayor lives and conducts most business"},</v>
      </c>
    </row>
    <row r="241" spans="1:14" ht="30" x14ac:dyDescent="0.25">
      <c r="A241" s="7" t="s">
        <v>531</v>
      </c>
      <c r="B241" s="7" t="s">
        <v>1187</v>
      </c>
      <c r="C241" s="6">
        <v>4997</v>
      </c>
      <c r="D241" s="6">
        <v>2872</v>
      </c>
      <c r="E241" s="6" t="str">
        <f>IFERROR(VLOOKUP($A241,tWA[],5,FALSE),"--")</f>
        <v>--</v>
      </c>
      <c r="F241" s="6" t="str">
        <f>IFERROR(VLOOKUP($A241,tWA[],6,FALSE),"--")</f>
        <v>--</v>
      </c>
      <c r="G241" s="18" t="s">
        <v>1945</v>
      </c>
      <c r="H241" s="18">
        <f t="shared" si="9"/>
        <v>4399.6770000000006</v>
      </c>
      <c r="I241" s="18" t="str">
        <f t="shared" si="10"/>
        <v>4399.677,  5098.98</v>
      </c>
      <c r="J241" s="6" t="s">
        <v>1197</v>
      </c>
      <c r="K241" s="6" t="s">
        <v>532</v>
      </c>
      <c r="L241" s="6" t="s">
        <v>442</v>
      </c>
      <c r="M241" s="11" t="s">
        <v>1226</v>
      </c>
      <c r="N241" s="7" t="str">
        <f t="shared" si="11"/>
        <v>{"name": "Melanie's", "map": "Haven", "fCoords": "4997, 2872", "waCoords": "--, --", "leaflet": "4399.677,  5098.98", "pinType": "Dining", "mapRef": "Map Ref.: Q14 (GP)", "type": "Restaurant", "description": ""},</v>
      </c>
    </row>
    <row r="242" spans="1:14" ht="30" x14ac:dyDescent="0.25">
      <c r="A242" s="7" t="s">
        <v>533</v>
      </c>
      <c r="B242" s="7" t="s">
        <v>1187</v>
      </c>
      <c r="C242" s="6">
        <v>5209</v>
      </c>
      <c r="D242" s="6">
        <v>2715</v>
      </c>
      <c r="E242" s="6" t="str">
        <f>IFERROR(VLOOKUP($A242,tWA[],5,FALSE),"--")</f>
        <v>--</v>
      </c>
      <c r="F242" s="6" t="str">
        <f>IFERROR(VLOOKUP($A242,tWA[],6,FALSE),"--")</f>
        <v>--</v>
      </c>
      <c r="G242" s="18" t="s">
        <v>1946</v>
      </c>
      <c r="H242" s="18">
        <f t="shared" si="9"/>
        <v>4559.8810000000003</v>
      </c>
      <c r="I242" s="18" t="str">
        <f t="shared" si="10"/>
        <v>4559.881,  5315.306</v>
      </c>
      <c r="J242" s="6" t="s">
        <v>1218</v>
      </c>
      <c r="K242" s="6" t="s">
        <v>534</v>
      </c>
      <c r="L242" s="6" t="s">
        <v>461</v>
      </c>
      <c r="M242" s="11" t="s">
        <v>1226</v>
      </c>
      <c r="N242" s="7" t="str">
        <f t="shared" si="11"/>
        <v>{"name": "Meriwether - Cordwainer", "map": "Haven", "fCoords": "5209, 2715", "waCoords": "--, --", "leaflet": "4559.881,  5315.306", "pinType": "Shopping", "mapRef": "Map Ref.: R14 (GT)", "type": "Footwear", "description": ""},</v>
      </c>
    </row>
    <row r="243" spans="1:14" ht="30" x14ac:dyDescent="0.25">
      <c r="A243" s="7" t="s">
        <v>535</v>
      </c>
      <c r="B243" s="7" t="s">
        <v>1187</v>
      </c>
      <c r="C243" s="6">
        <v>6880</v>
      </c>
      <c r="D243" s="6">
        <v>4977</v>
      </c>
      <c r="E243" s="6" t="str">
        <f>IFERROR(VLOOKUP($A243,tWA[],5,FALSE),"--")</f>
        <v>--</v>
      </c>
      <c r="F243" s="6" t="str">
        <f>IFERROR(VLOOKUP($A243,tWA[],6,FALSE),"--")</f>
        <v>--</v>
      </c>
      <c r="G243" s="18" t="s">
        <v>1947</v>
      </c>
      <c r="H243" s="18">
        <f t="shared" si="9"/>
        <v>2251.7170000000001</v>
      </c>
      <c r="I243" s="18" t="str">
        <f t="shared" si="10"/>
        <v>2251.717,  7020.408</v>
      </c>
      <c r="J243" s="6" t="s">
        <v>1204</v>
      </c>
      <c r="K243" s="6" t="s">
        <v>536</v>
      </c>
      <c r="L243" s="6" t="s">
        <v>68</v>
      </c>
      <c r="M243" s="11" t="s">
        <v>1226</v>
      </c>
      <c r="N243" s="7" t="str">
        <f t="shared" si="11"/>
        <v>{"name": "Merry Maid Tavern", "map": "Haven", "fCoords": "6880, 4977", "waCoords": "--, --", "leaflet": "2251.717,  7020.408", "pinType": "Inns &amp; Taverns", "mapRef": "Map Ref.: W07 (BZ)", "type": "Tavern", "description": ""},</v>
      </c>
    </row>
    <row r="244" spans="1:14" ht="30" x14ac:dyDescent="0.25">
      <c r="A244" s="7" t="s">
        <v>537</v>
      </c>
      <c r="B244" s="7" t="s">
        <v>1187</v>
      </c>
      <c r="C244" s="6">
        <v>4535</v>
      </c>
      <c r="D244" s="6">
        <v>3509</v>
      </c>
      <c r="E244" s="6" t="str">
        <f>IFERROR(VLOOKUP($A244,tWA[],5,FALSE),"--")</f>
        <v>--</v>
      </c>
      <c r="F244" s="6" t="str">
        <f>IFERROR(VLOOKUP($A244,tWA[],6,FALSE),"--")</f>
        <v>--</v>
      </c>
      <c r="G244" s="18" t="s">
        <v>1948</v>
      </c>
      <c r="H244" s="18">
        <f t="shared" si="9"/>
        <v>3749.6770000000001</v>
      </c>
      <c r="I244" s="18" t="str">
        <f t="shared" si="10"/>
        <v>3749.677,  4627.551</v>
      </c>
      <c r="J244" s="6" t="s">
        <v>1218</v>
      </c>
      <c r="K244" s="6" t="s">
        <v>538</v>
      </c>
      <c r="L244" s="6" t="s">
        <v>62</v>
      </c>
      <c r="M244" s="11" t="s">
        <v>1226</v>
      </c>
      <c r="N244" s="7" t="str">
        <f t="shared" si="11"/>
        <v>{"name": "Meryn's Elvish Cloaks", "map": "Haven", "fCoords": "4535, 3509", "waCoords": "--, --", "leaflet": "3749.677,  4627.551", "pinType": "Shopping", "mapRef": "Map Ref.: O12 (RM)", "type": "General Clothing", "description": ""},</v>
      </c>
    </row>
    <row r="245" spans="1:14" ht="30" x14ac:dyDescent="0.25">
      <c r="A245" s="7" t="s">
        <v>1117</v>
      </c>
      <c r="B245" s="7" t="s">
        <v>1187</v>
      </c>
      <c r="C245" s="6">
        <v>3794</v>
      </c>
      <c r="D245" s="6">
        <v>4685</v>
      </c>
      <c r="E245" s="6" t="str">
        <f>IFERROR(VLOOKUP($A245,tWA[],5,FALSE),"--")</f>
        <v>--</v>
      </c>
      <c r="F245" s="6" t="str">
        <f>IFERROR(VLOOKUP($A245,tWA[],6,FALSE),"--")</f>
        <v>--</v>
      </c>
      <c r="G245" s="18" t="s">
        <v>1949</v>
      </c>
      <c r="H245" s="18">
        <f t="shared" si="9"/>
        <v>2549.6770000000001</v>
      </c>
      <c r="I245" s="18" t="str">
        <f t="shared" si="10"/>
        <v>2549.677,  3871.429</v>
      </c>
      <c r="J245" s="6" t="s">
        <v>1678</v>
      </c>
      <c r="K245" s="6" t="s">
        <v>1118</v>
      </c>
      <c r="L245" s="6" t="s">
        <v>267</v>
      </c>
      <c r="M245" s="11" t="s">
        <v>1226</v>
      </c>
      <c r="N245" s="7" t="str">
        <f t="shared" si="11"/>
        <v>{"name": "Message Drop", "map": "Haven", "fCoords": "3794, 4685", "waCoords": "--, --", "leaflet": "2549.677,  3871.429", "pinType": "Landmark", "mapRef": "Map Ref.: M08 (RA)", "type": "Fountain", "description": ""},</v>
      </c>
    </row>
    <row r="246" spans="1:14" ht="30" x14ac:dyDescent="0.25">
      <c r="A246" s="7" t="s">
        <v>539</v>
      </c>
      <c r="B246" s="7" t="s">
        <v>1187</v>
      </c>
      <c r="C246" s="6">
        <v>421</v>
      </c>
      <c r="D246" s="6">
        <v>2832</v>
      </c>
      <c r="E246" s="6" t="str">
        <f>IFERROR(VLOOKUP($A246,tWA[],5,FALSE),"--")</f>
        <v>--</v>
      </c>
      <c r="F246" s="6" t="str">
        <f>IFERROR(VLOOKUP($A246,tWA[],6,FALSE),"--")</f>
        <v>--</v>
      </c>
      <c r="G246" s="18" t="s">
        <v>1950</v>
      </c>
      <c r="H246" s="18">
        <f t="shared" si="9"/>
        <v>4440.4930000000004</v>
      </c>
      <c r="I246" s="18" t="str">
        <f t="shared" si="10"/>
        <v>4440.493,  429.592</v>
      </c>
      <c r="J246" s="6" t="s">
        <v>1677</v>
      </c>
      <c r="K246" s="6" t="s">
        <v>540</v>
      </c>
      <c r="L246" s="6" t="s">
        <v>475</v>
      </c>
      <c r="M246" s="11" t="s">
        <v>1226</v>
      </c>
      <c r="N246" s="7" t="str">
        <f t="shared" si="11"/>
        <v>{"name": "Meydal - Matchmaker", "map": "Haven", "fCoords": "421, 2832", "waCoords": "--, --", "leaflet": "4440.493,  429.592", "pinType": "Service", "mapRef": "Map Ref.: A14 (HT)", "type": "Other Services", "description": ""},</v>
      </c>
    </row>
    <row r="247" spans="1:14" ht="30" x14ac:dyDescent="0.25">
      <c r="A247" s="7" t="s">
        <v>541</v>
      </c>
      <c r="B247" s="7" t="s">
        <v>1187</v>
      </c>
      <c r="C247" s="6">
        <v>710</v>
      </c>
      <c r="D247" s="6">
        <v>3033</v>
      </c>
      <c r="E247" s="6" t="str">
        <f>IFERROR(VLOOKUP($A247,tWA[],5,FALSE),"--")</f>
        <v>--</v>
      </c>
      <c r="F247" s="6" t="str">
        <f>IFERROR(VLOOKUP($A247,tWA[],6,FALSE),"--")</f>
        <v>--</v>
      </c>
      <c r="G247" s="18" t="s">
        <v>1951</v>
      </c>
      <c r="H247" s="18">
        <f t="shared" si="9"/>
        <v>4235.3910000000005</v>
      </c>
      <c r="I247" s="18" t="str">
        <f t="shared" si="10"/>
        <v>4235.391,  724.49</v>
      </c>
      <c r="J247" s="6" t="s">
        <v>1218</v>
      </c>
      <c r="K247" s="6" t="s">
        <v>542</v>
      </c>
      <c r="L247" s="6" t="s">
        <v>30</v>
      </c>
      <c r="M247" s="11" t="s">
        <v>1226</v>
      </c>
      <c r="N247" s="7" t="str">
        <f t="shared" si="11"/>
        <v>{"name": "Minotaur Metalworks", "map": "Haven", "fCoords": "710, 3033", "waCoords": "--, --", "leaflet": "4235.391,  724.49", "pinType": "Shopping", "mapRef": "Map Ref.: B13 (IK)", "type": "Metalwork", "description": ""},</v>
      </c>
    </row>
    <row r="248" spans="1:14" ht="30" x14ac:dyDescent="0.25">
      <c r="A248" s="7" t="s">
        <v>543</v>
      </c>
      <c r="B248" s="7" t="s">
        <v>1187</v>
      </c>
      <c r="C248" s="6">
        <v>5225</v>
      </c>
      <c r="D248" s="6">
        <v>3106</v>
      </c>
      <c r="E248" s="6" t="str">
        <f>IFERROR(VLOOKUP($A248,tWA[],5,FALSE),"--")</f>
        <v>5224</v>
      </c>
      <c r="F248" s="6" t="str">
        <f>IFERROR(VLOOKUP($A248,tWA[],6,FALSE),"--")</f>
        <v>4077</v>
      </c>
      <c r="G248" s="18" t="s">
        <v>1952</v>
      </c>
      <c r="H248" s="18">
        <f t="shared" si="9"/>
        <v>4160.9010000000007</v>
      </c>
      <c r="I248" s="18" t="str">
        <f t="shared" si="10"/>
        <v>4160.901,  5331.633</v>
      </c>
      <c r="J248" s="6" t="s">
        <v>9</v>
      </c>
      <c r="K248" s="6" t="s">
        <v>544</v>
      </c>
      <c r="L248" s="6" t="s">
        <v>9</v>
      </c>
      <c r="M248" s="11" t="s">
        <v>1340</v>
      </c>
      <c r="N248" s="7" t="str">
        <f t="shared" si="11"/>
        <v>{"name": "Mint Station", "map": "Haven", "fCoords": "5225, 3106", "waCoords": "5224, 4077", "leaflet": "4160.901,  5331.633", "pinType": "City Guard", "mapRef": "Map Ref.: R13 (TU)", "type": "City Guard", "description": "A City Watch station."},</v>
      </c>
    </row>
    <row r="249" spans="1:14" ht="30" x14ac:dyDescent="0.25">
      <c r="A249" s="7" t="s">
        <v>545</v>
      </c>
      <c r="B249" s="7" t="s">
        <v>1187</v>
      </c>
      <c r="C249" s="6">
        <v>2446</v>
      </c>
      <c r="D249" s="6">
        <v>5724</v>
      </c>
      <c r="E249" s="6" t="str">
        <f>IFERROR(VLOOKUP($A249,tWA[],5,FALSE),"--")</f>
        <v>--</v>
      </c>
      <c r="F249" s="6" t="str">
        <f>IFERROR(VLOOKUP($A249,tWA[],6,FALSE),"--")</f>
        <v>--</v>
      </c>
      <c r="G249" s="18" t="s">
        <v>1953</v>
      </c>
      <c r="H249" s="18">
        <f t="shared" si="9"/>
        <v>1489.472</v>
      </c>
      <c r="I249" s="18" t="str">
        <f t="shared" si="10"/>
        <v>1489.472,  2495.918</v>
      </c>
      <c r="J249" s="6" t="s">
        <v>1218</v>
      </c>
      <c r="K249" s="6" t="s">
        <v>546</v>
      </c>
      <c r="L249" s="6" t="s">
        <v>62</v>
      </c>
      <c r="M249" s="11" t="s">
        <v>1226</v>
      </c>
      <c r="N249" s="7" t="str">
        <f t="shared" si="11"/>
        <v>{"name": "Mintaki's", "map": "Haven", "fCoords": "2446, 5724", "waCoords": "--, --", "leaflet": "1489.472,  2495.918", "pinType": "Shopping", "mapRef": "Map Ref.: H04 (QN)", "type": "General Clothing", "description": ""},</v>
      </c>
    </row>
    <row r="250" spans="1:14" ht="30" x14ac:dyDescent="0.25">
      <c r="A250" s="7" t="s">
        <v>547</v>
      </c>
      <c r="B250" s="7" t="s">
        <v>1187</v>
      </c>
      <c r="C250" s="6">
        <v>6073</v>
      </c>
      <c r="D250" s="6">
        <v>5297</v>
      </c>
      <c r="E250" s="6" t="str">
        <f>IFERROR(VLOOKUP($A250,tWA[],5,FALSE),"--")</f>
        <v>--</v>
      </c>
      <c r="F250" s="6" t="str">
        <f>IFERROR(VLOOKUP($A250,tWA[],6,FALSE),"--")</f>
        <v>--</v>
      </c>
      <c r="G250" s="18" t="s">
        <v>1954</v>
      </c>
      <c r="H250" s="18">
        <f t="shared" si="9"/>
        <v>1925.1869999999999</v>
      </c>
      <c r="I250" s="18" t="str">
        <f t="shared" si="10"/>
        <v>1925.187,  6196.939</v>
      </c>
      <c r="J250" s="6" t="s">
        <v>1218</v>
      </c>
      <c r="K250" s="6" t="s">
        <v>548</v>
      </c>
      <c r="L250" s="6" t="s">
        <v>65</v>
      </c>
      <c r="M250" s="11" t="s">
        <v>1226</v>
      </c>
      <c r="N250" s="7" t="str">
        <f t="shared" si="11"/>
        <v>{"name": "Mintar - Ship's Weaponry", "map": "Haven", "fCoords": "6073, 5297", "waCoords": "--, --", "leaflet": "1925.187,  6196.939", "pinType": "Shopping", "mapRef": "Map Ref.: U06 (AT)", "type": "Nautical Supplies", "description": ""},</v>
      </c>
    </row>
    <row r="251" spans="1:14" ht="30" x14ac:dyDescent="0.25">
      <c r="A251" s="7" t="s">
        <v>549</v>
      </c>
      <c r="B251" s="7" t="s">
        <v>1187</v>
      </c>
      <c r="C251" s="6">
        <v>2328</v>
      </c>
      <c r="D251" s="6">
        <v>4961</v>
      </c>
      <c r="E251" s="6" t="str">
        <f>IFERROR(VLOOKUP($A251,tWA[],5,FALSE),"--")</f>
        <v>--</v>
      </c>
      <c r="F251" s="6" t="str">
        <f>IFERROR(VLOOKUP($A251,tWA[],6,FALSE),"--")</f>
        <v>--</v>
      </c>
      <c r="G251" s="18" t="s">
        <v>1955</v>
      </c>
      <c r="H251" s="18">
        <f t="shared" si="9"/>
        <v>2268.0439999999999</v>
      </c>
      <c r="I251" s="18" t="str">
        <f t="shared" si="10"/>
        <v>2268.044,  2375.51</v>
      </c>
      <c r="J251" s="6" t="s">
        <v>1204</v>
      </c>
      <c r="K251" s="6" t="s">
        <v>550</v>
      </c>
      <c r="L251" s="6" t="s">
        <v>68</v>
      </c>
      <c r="M251" s="11" t="s">
        <v>1226</v>
      </c>
      <c r="N251" s="7" t="str">
        <f t="shared" si="11"/>
        <v>{"name": "Mixolydian Mode", "map": "Haven", "fCoords": "2328, 4961", "waCoords": "--, --", "leaflet": "2268.044,  2375.51", "pinType": "Inns &amp; Taverns", "mapRef": "Map Ref.: H07 (MW)", "type": "Tavern", "description": ""},</v>
      </c>
    </row>
    <row r="252" spans="1:14" ht="30" x14ac:dyDescent="0.25">
      <c r="A252" s="7" t="s">
        <v>551</v>
      </c>
      <c r="B252" s="7" t="s">
        <v>1187</v>
      </c>
      <c r="C252" s="6">
        <v>3807</v>
      </c>
      <c r="D252" s="6">
        <v>4815</v>
      </c>
      <c r="E252" s="6" t="str">
        <f>IFERROR(VLOOKUP($A252,tWA[],5,FALSE),"--")</f>
        <v>--</v>
      </c>
      <c r="F252" s="6" t="str">
        <f>IFERROR(VLOOKUP($A252,tWA[],6,FALSE),"--")</f>
        <v>--</v>
      </c>
      <c r="G252" s="18" t="s">
        <v>1956</v>
      </c>
      <c r="H252" s="18">
        <f t="shared" si="9"/>
        <v>2417.0229999999997</v>
      </c>
      <c r="I252" s="18" t="str">
        <f t="shared" si="10"/>
        <v>2417.023,  3884.694</v>
      </c>
      <c r="J252" s="6" t="s">
        <v>22</v>
      </c>
      <c r="K252" s="6" t="s">
        <v>552</v>
      </c>
      <c r="L252" s="6" t="s">
        <v>22</v>
      </c>
      <c r="M252" s="11" t="s">
        <v>1226</v>
      </c>
      <c r="N252" s="7" t="str">
        <f t="shared" si="11"/>
        <v>{"name": "Mordecai - Surgeon", "map": "Haven", "fCoords": "3807, 4815", "waCoords": "--, --", "leaflet": "2417.023,  3884.694", "pinType": "Medical", "mapRef": "Map Ref.: M07 (DI)", "type": "Medical", "description": ""},</v>
      </c>
    </row>
    <row r="253" spans="1:14" ht="30" x14ac:dyDescent="0.25">
      <c r="A253" s="7" t="s">
        <v>553</v>
      </c>
      <c r="B253" s="7" t="s">
        <v>1187</v>
      </c>
      <c r="C253" s="6">
        <v>4779</v>
      </c>
      <c r="D253" s="6">
        <v>3761</v>
      </c>
      <c r="E253" s="6" t="str">
        <f>IFERROR(VLOOKUP($A253,tWA[],5,FALSE),"--")</f>
        <v>--</v>
      </c>
      <c r="F253" s="6" t="str">
        <f>IFERROR(VLOOKUP($A253,tWA[],6,FALSE),"--")</f>
        <v>--</v>
      </c>
      <c r="G253" s="18" t="s">
        <v>1957</v>
      </c>
      <c r="H253" s="18">
        <f t="shared" si="9"/>
        <v>3492.5340000000001</v>
      </c>
      <c r="I253" s="18" t="str">
        <f t="shared" si="10"/>
        <v>3492.534,  4876.531</v>
      </c>
      <c r="J253" s="6" t="s">
        <v>1677</v>
      </c>
      <c r="K253" s="6" t="s">
        <v>554</v>
      </c>
      <c r="L253" s="6" t="s">
        <v>475</v>
      </c>
      <c r="M253" s="11" t="s">
        <v>1226</v>
      </c>
      <c r="N253" s="7" t="str">
        <f t="shared" si="11"/>
        <v>{"name": "Mother Yosofal the Witch", "map": "Haven", "fCoords": "4779, 3761", "waCoords": "--, --", "leaflet": "3492.534,  4876.531", "pinType": "Service", "mapRef": "Map Ref.: P11 (RF)", "type": "Other Services", "description": ""},</v>
      </c>
    </row>
    <row r="254" spans="1:14" ht="30" x14ac:dyDescent="0.25">
      <c r="A254" s="7" t="s">
        <v>555</v>
      </c>
      <c r="B254" s="7" t="s">
        <v>1187</v>
      </c>
      <c r="C254" s="6">
        <v>6858</v>
      </c>
      <c r="D254" s="6">
        <v>4807</v>
      </c>
      <c r="E254" s="6" t="str">
        <f>IFERROR(VLOOKUP($A254,tWA[],5,FALSE),"--")</f>
        <v>--</v>
      </c>
      <c r="F254" s="6" t="str">
        <f>IFERROR(VLOOKUP($A254,tWA[],6,FALSE),"--")</f>
        <v>--</v>
      </c>
      <c r="G254" s="18" t="s">
        <v>1958</v>
      </c>
      <c r="H254" s="18">
        <f t="shared" si="9"/>
        <v>2425.1869999999999</v>
      </c>
      <c r="I254" s="18" t="str">
        <f t="shared" si="10"/>
        <v>2425.187,  6997.959</v>
      </c>
      <c r="J254" s="6" t="s">
        <v>70</v>
      </c>
      <c r="K254" s="6" t="s">
        <v>556</v>
      </c>
      <c r="L254" s="6" t="s">
        <v>117</v>
      </c>
      <c r="M254" s="11" t="s">
        <v>1226</v>
      </c>
      <c r="N254" s="7" t="str">
        <f t="shared" si="11"/>
        <v>{"name": "Mrs. McKenzie's Boarding House", "map": "Haven", "fCoords": "6858, 4807", "waCoords": "--, --", "leaflet": "2425.187,  6997.959", "pinType": "Residence", "mapRef": "Map Ref.: W07 (CA)", "type": "Rooming House", "description": ""},</v>
      </c>
    </row>
    <row r="255" spans="1:14" ht="30" x14ac:dyDescent="0.25">
      <c r="A255" s="7" t="s">
        <v>557</v>
      </c>
      <c r="B255" s="7" t="s">
        <v>1187</v>
      </c>
      <c r="C255" s="6">
        <v>4686</v>
      </c>
      <c r="D255" s="6">
        <v>5134</v>
      </c>
      <c r="E255" s="6" t="str">
        <f>IFERROR(VLOOKUP($A255,tWA[],5,FALSE),"--")</f>
        <v>--</v>
      </c>
      <c r="F255" s="6" t="str">
        <f>IFERROR(VLOOKUP($A255,tWA[],6,FALSE),"--")</f>
        <v>--</v>
      </c>
      <c r="G255" s="18" t="s">
        <v>1959</v>
      </c>
      <c r="H255" s="18">
        <f t="shared" si="9"/>
        <v>2091.5129999999999</v>
      </c>
      <c r="I255" s="18" t="str">
        <f t="shared" si="10"/>
        <v>2091.513,  4781.633</v>
      </c>
      <c r="J255" s="6" t="s">
        <v>70</v>
      </c>
      <c r="K255" s="6" t="s">
        <v>558</v>
      </c>
      <c r="L255" s="6" t="s">
        <v>117</v>
      </c>
      <c r="M255" s="11" t="s">
        <v>1226</v>
      </c>
      <c r="N255" s="7" t="str">
        <f t="shared" si="11"/>
        <v>{"name": "Mrs. O'Leary's Rooms", "map": "Haven", "fCoords": "4686, 5134", "waCoords": "--, --", "leaflet": "2091.513,  4781.633", "pinType": "Residence", "mapRef": "Map Ref.: P06 (ES)", "type": "Rooming House", "description": ""},</v>
      </c>
    </row>
    <row r="256" spans="1:14" ht="30" x14ac:dyDescent="0.25">
      <c r="A256" s="7" t="s">
        <v>559</v>
      </c>
      <c r="B256" s="7" t="s">
        <v>1187</v>
      </c>
      <c r="C256" s="6">
        <v>895</v>
      </c>
      <c r="D256" s="6">
        <v>4473</v>
      </c>
      <c r="E256" s="6" t="str">
        <f>IFERROR(VLOOKUP($A256,tWA[],5,FALSE),"--")</f>
        <v>--</v>
      </c>
      <c r="F256" s="6" t="str">
        <f>IFERROR(VLOOKUP($A256,tWA[],6,FALSE),"--")</f>
        <v>--</v>
      </c>
      <c r="G256" s="18" t="s">
        <v>1960</v>
      </c>
      <c r="H256" s="18">
        <f t="shared" si="9"/>
        <v>2766.0029999999997</v>
      </c>
      <c r="I256" s="18" t="str">
        <f t="shared" si="10"/>
        <v>2766.003,  913.265</v>
      </c>
      <c r="J256" s="6" t="s">
        <v>1218</v>
      </c>
      <c r="K256" s="6" t="s">
        <v>560</v>
      </c>
      <c r="L256" s="6" t="s">
        <v>182</v>
      </c>
      <c r="M256" s="11" t="s">
        <v>1226</v>
      </c>
      <c r="N256" s="7" t="str">
        <f t="shared" si="11"/>
        <v>{"name": "Mudikar's Saddlery and Tack Shop", "map": "Haven", "fCoords": "895, 4473", "waCoords": "--, --", "leaflet": "2766.003,  913.265", "pinType": "Shopping", "mapRef": "Map Ref.: C09 (PX)", "type": "Saddler", "description": ""},</v>
      </c>
    </row>
    <row r="257" spans="1:14" ht="30" x14ac:dyDescent="0.25">
      <c r="A257" s="7" t="s">
        <v>561</v>
      </c>
      <c r="B257" s="7" t="s">
        <v>1187</v>
      </c>
      <c r="C257" s="6">
        <v>2265</v>
      </c>
      <c r="D257" s="6">
        <v>4983</v>
      </c>
      <c r="E257" s="6" t="str">
        <f>IFERROR(VLOOKUP($A257,tWA[],5,FALSE),"--")</f>
        <v>--</v>
      </c>
      <c r="F257" s="6" t="str">
        <f>IFERROR(VLOOKUP($A257,tWA[],6,FALSE),"--")</f>
        <v>--</v>
      </c>
      <c r="G257" s="18" t="s">
        <v>1961</v>
      </c>
      <c r="H257" s="18">
        <f t="shared" si="9"/>
        <v>2245.5949999999998</v>
      </c>
      <c r="I257" s="18" t="str">
        <f t="shared" si="10"/>
        <v>2245.595,  2311.224</v>
      </c>
      <c r="J257" s="6" t="s">
        <v>1199</v>
      </c>
      <c r="K257" s="6" t="s">
        <v>562</v>
      </c>
      <c r="L257" s="6" t="s">
        <v>276</v>
      </c>
      <c r="M257" s="11" t="s">
        <v>1226</v>
      </c>
      <c r="N257" s="7" t="str">
        <f t="shared" si="11"/>
        <v>{"name": "Muses' Theatre", "map": "Haven", "fCoords": "2265, 4983", "waCoords": "--, --", "leaflet": "2245.595,  2311.224", "pinType": "Entertainment", "mapRef": "Map Ref.: G07 (MZ)", "type": "Theatre", "description": ""},</v>
      </c>
    </row>
    <row r="258" spans="1:14" ht="30" x14ac:dyDescent="0.25">
      <c r="A258" s="7" t="s">
        <v>563</v>
      </c>
      <c r="B258" s="7" t="s">
        <v>1187</v>
      </c>
      <c r="C258" s="6">
        <v>2318</v>
      </c>
      <c r="D258" s="6">
        <v>4843</v>
      </c>
      <c r="E258" s="6" t="str">
        <f>IFERROR(VLOOKUP($A258,tWA[],5,FALSE),"--")</f>
        <v>--</v>
      </c>
      <c r="F258" s="6" t="str">
        <f>IFERROR(VLOOKUP($A258,tWA[],6,FALSE),"--")</f>
        <v>--</v>
      </c>
      <c r="G258" s="18" t="s">
        <v>1962</v>
      </c>
      <c r="H258" s="18">
        <f t="shared" si="9"/>
        <v>2388.4519999999998</v>
      </c>
      <c r="I258" s="18" t="str">
        <f t="shared" si="10"/>
        <v>2388.452,  2365.306</v>
      </c>
      <c r="J258" s="6" t="s">
        <v>1218</v>
      </c>
      <c r="K258" s="6" t="s">
        <v>564</v>
      </c>
      <c r="L258" s="6" t="s">
        <v>33</v>
      </c>
      <c r="M258" s="11" t="s">
        <v>1226</v>
      </c>
      <c r="N258" s="7" t="str">
        <f t="shared" si="11"/>
        <v>{"name": "Music Copiers", "map": "Haven", "fCoords": "2318, 4843", "waCoords": "--, --", "leaflet": "2388.452,  2365.306", "pinType": "Shopping", "mapRef": "Map Ref.: H07 (MC)", "type": "Scribe", "description": ""},</v>
      </c>
    </row>
    <row r="259" spans="1:14" ht="30" x14ac:dyDescent="0.25">
      <c r="A259" s="7" t="s">
        <v>565</v>
      </c>
      <c r="B259" s="7" t="s">
        <v>1187</v>
      </c>
      <c r="C259" s="6">
        <v>3070</v>
      </c>
      <c r="D259" s="6">
        <v>5554</v>
      </c>
      <c r="E259" s="6" t="str">
        <f>IFERROR(VLOOKUP($A259,tWA[],5,FALSE),"--")</f>
        <v>--</v>
      </c>
      <c r="F259" s="6" t="str">
        <f>IFERROR(VLOOKUP($A259,tWA[],6,FALSE),"--")</f>
        <v>--</v>
      </c>
      <c r="G259" s="18" t="s">
        <v>1963</v>
      </c>
      <c r="H259" s="18">
        <f t="shared" si="9"/>
        <v>1662.942</v>
      </c>
      <c r="I259" s="18" t="str">
        <f t="shared" si="10"/>
        <v>1662.942,  3132.653</v>
      </c>
      <c r="J259" s="6" t="s">
        <v>1218</v>
      </c>
      <c r="K259" s="6" t="s">
        <v>567</v>
      </c>
      <c r="L259" s="6" t="s">
        <v>566</v>
      </c>
      <c r="M259" s="11" t="s">
        <v>1226</v>
      </c>
      <c r="N259" s="7" t="str">
        <f t="shared" si="11"/>
        <v>{"name": "Mustard and Fennel", "map": "Haven", "fCoords": "3070, 5554", "waCoords": "--, --", "leaflet": "1662.942,  3132.653", "pinType": "Shopping", "mapRef": "Map Ref.: J05 (QW)", "type": "Herbalist", "description": ""},</v>
      </c>
    </row>
    <row r="260" spans="1:14" ht="45" x14ac:dyDescent="0.25">
      <c r="A260" s="7" t="s">
        <v>568</v>
      </c>
      <c r="B260" s="7" t="s">
        <v>1187</v>
      </c>
      <c r="C260" s="6">
        <v>2253</v>
      </c>
      <c r="D260" s="6">
        <v>4571</v>
      </c>
      <c r="E260" s="6" t="str">
        <f>IFERROR(VLOOKUP($A260,tWA[],5,FALSE),"--")</f>
        <v>2254</v>
      </c>
      <c r="F260" s="6" t="str">
        <f>IFERROR(VLOOKUP($A260,tWA[],6,FALSE),"--")</f>
        <v>2610</v>
      </c>
      <c r="G260" s="18" t="s">
        <v>1964</v>
      </c>
      <c r="H260" s="18">
        <f t="shared" ref="H260:H323" si="12">VALUE(_xlfn.TEXTBEFORE(G260,","))- 16.65</f>
        <v>2666.0029999999997</v>
      </c>
      <c r="I260" s="18" t="str">
        <f t="shared" ref="I260:I323" si="13">TEXT(H260, "####.###") &amp; ", " &amp; _xlfn.TEXTAFTER(G260,",")</f>
        <v>2666.003,  2298.98</v>
      </c>
      <c r="J260" s="6" t="s">
        <v>1204</v>
      </c>
      <c r="K260" s="6" t="s">
        <v>569</v>
      </c>
      <c r="L260" s="6" t="s">
        <v>16</v>
      </c>
      <c r="M260" s="11" t="s">
        <v>1363</v>
      </c>
      <c r="N260" s="7" t="str">
        <f t="shared" ref="N260:N323" si="14">"{""name"": """&amp;A260&amp;""", " &amp;
"""map"": """&amp;B260&amp;""", " &amp;
"""fCoords"": """&amp;C260&amp;", "&amp;D260&amp;""", " &amp;
"""waCoords"": """&amp;E260&amp;", "&amp;F260&amp;""", " &amp;
"""leaflet"": """ &amp; I260 &amp; """, " &amp;
"""pinType"": """ &amp; J260 &amp; """, " &amp;
"""mapRef"": """ &amp; K260 &amp; """, " &amp;
"""type"": """ &amp; L260 &amp; """, " &amp;
"""description"": """ &amp; M260 &amp; """},"</f>
        <v>{"name": "Mystic Valley Inn", "map": "Haven", "fCoords": "2253, 4571", "waCoords": "2254, 2610", "leaflet": "2666.003,  2298.98", "pinType": "Inns &amp; Taverns", "mapRef": "Map Ref.: G08 (LY)", "type": "Inn", "description": "One of the more well known inns/taverns in haven"},</v>
      </c>
    </row>
    <row r="261" spans="1:14" ht="30" x14ac:dyDescent="0.25">
      <c r="A261" s="7" t="s">
        <v>570</v>
      </c>
      <c r="B261" s="7" t="s">
        <v>1187</v>
      </c>
      <c r="C261" s="6">
        <v>1332</v>
      </c>
      <c r="D261" s="6">
        <v>3499</v>
      </c>
      <c r="E261" s="6" t="str">
        <f>IFERROR(VLOOKUP($A261,tWA[],5,FALSE),"--")</f>
        <v>--</v>
      </c>
      <c r="F261" s="6" t="str">
        <f>IFERROR(VLOOKUP($A261,tWA[],6,FALSE),"--")</f>
        <v>--</v>
      </c>
      <c r="G261" s="18" t="s">
        <v>1965</v>
      </c>
      <c r="H261" s="18">
        <f t="shared" si="12"/>
        <v>3759.8809999999999</v>
      </c>
      <c r="I261" s="18" t="str">
        <f t="shared" si="13"/>
        <v>3759.881,  1359.184</v>
      </c>
      <c r="J261" s="6" t="s">
        <v>1218</v>
      </c>
      <c r="K261" s="6" t="s">
        <v>571</v>
      </c>
      <c r="L261" s="6" t="s">
        <v>105</v>
      </c>
      <c r="M261" s="11" t="s">
        <v>1226</v>
      </c>
      <c r="N261" s="7" t="str">
        <f t="shared" si="14"/>
        <v>{"name": "Nicodemus Bottleboro - Apothecary", "map": "Haven", "fCoords": "1332, 3499", "waCoords": "--, --", "leaflet": "3759.881,  1359.184", "pinType": "Shopping", "mapRef": "Map Ref.: D12 (LH)", "type": "Apothecary", "description": ""},</v>
      </c>
    </row>
    <row r="262" spans="1:14" ht="30" x14ac:dyDescent="0.25">
      <c r="A262" s="7" t="s">
        <v>572</v>
      </c>
      <c r="B262" s="7" t="s">
        <v>1187</v>
      </c>
      <c r="C262" s="6">
        <v>5944</v>
      </c>
      <c r="D262" s="6">
        <v>4959</v>
      </c>
      <c r="E262" s="6" t="str">
        <f>IFERROR(VLOOKUP($A262,tWA[],5,FALSE),"--")</f>
        <v>--</v>
      </c>
      <c r="F262" s="6" t="str">
        <f>IFERROR(VLOOKUP($A262,tWA[],6,FALSE),"--")</f>
        <v>--</v>
      </c>
      <c r="G262" s="18" t="s">
        <v>1966</v>
      </c>
      <c r="H262" s="18">
        <f t="shared" si="12"/>
        <v>2270.085</v>
      </c>
      <c r="I262" s="18" t="str">
        <f t="shared" si="13"/>
        <v>2270.085,  6065.306</v>
      </c>
      <c r="J262" s="6" t="s">
        <v>1218</v>
      </c>
      <c r="K262" s="6" t="s">
        <v>573</v>
      </c>
      <c r="L262" s="6" t="s">
        <v>65</v>
      </c>
      <c r="M262" s="11" t="s">
        <v>1226</v>
      </c>
      <c r="N262" s="7" t="str">
        <f t="shared" si="14"/>
        <v>{"name": "Nimrodel's South City Shipyard", "map": "Haven", "fCoords": "5944, 4959", "waCoords": "--, --", "leaflet": "2270.085,  6065.306", "pinType": "Shopping", "mapRef": "Map Ref.: T07 (BC)", "type": "Nautical Supplies", "description": ""},</v>
      </c>
    </row>
    <row r="263" spans="1:14" ht="30" x14ac:dyDescent="0.25">
      <c r="A263" s="7" t="s">
        <v>574</v>
      </c>
      <c r="B263" s="7" t="s">
        <v>1187</v>
      </c>
      <c r="C263" s="6">
        <v>3356</v>
      </c>
      <c r="D263" s="6">
        <v>2364</v>
      </c>
      <c r="E263" s="6" t="str">
        <f>IFERROR(VLOOKUP($A263,tWA[],5,FALSE),"--")</f>
        <v>3357</v>
      </c>
      <c r="F263" s="6" t="str">
        <f>IFERROR(VLOOKUP($A263,tWA[],6,FALSE),"--")</f>
        <v>4827</v>
      </c>
      <c r="G263" s="18" t="s">
        <v>1967</v>
      </c>
      <c r="H263" s="18">
        <f t="shared" si="12"/>
        <v>4918.0440000000008</v>
      </c>
      <c r="I263" s="18" t="str">
        <f t="shared" si="13"/>
        <v>4918.044,  3424.49</v>
      </c>
      <c r="J263" s="6" t="s">
        <v>9</v>
      </c>
      <c r="K263" s="6" t="s">
        <v>575</v>
      </c>
      <c r="L263" s="6" t="s">
        <v>9</v>
      </c>
      <c r="M263" s="11" t="s">
        <v>1340</v>
      </c>
      <c r="N263" s="7" t="str">
        <f t="shared" si="14"/>
        <v>{"name": "Nobles' Way Station", "map": "Haven", "fCoords": "3356, 2364", "waCoords": "3357, 4827", "leaflet": "4918.044,  3424.49", "pinType": "City Guard", "mapRef": "Map Ref.: K16 (RW)", "type": "City Guard", "description": "A City Watch station."},</v>
      </c>
    </row>
    <row r="264" spans="1:14" ht="30" x14ac:dyDescent="0.25">
      <c r="A264" s="7" t="s">
        <v>576</v>
      </c>
      <c r="B264" s="7" t="s">
        <v>1187</v>
      </c>
      <c r="C264" s="6">
        <v>4633</v>
      </c>
      <c r="D264" s="6">
        <v>774</v>
      </c>
      <c r="E264" s="6" t="str">
        <f>IFERROR(VLOOKUP($A264,tWA[],5,FALSE),"--")</f>
        <v>4634</v>
      </c>
      <c r="F264" s="6" t="str">
        <f>IFERROR(VLOOKUP($A264,tWA[],6,FALSE),"--")</f>
        <v>6398</v>
      </c>
      <c r="G264" s="18" t="s">
        <v>1968</v>
      </c>
      <c r="H264" s="18">
        <f t="shared" si="12"/>
        <v>6540.4930000000004</v>
      </c>
      <c r="I264" s="18" t="str">
        <f t="shared" si="13"/>
        <v>6540.493,  4727.551</v>
      </c>
      <c r="J264" s="6" t="s">
        <v>9</v>
      </c>
      <c r="K264" s="6" t="s">
        <v>577</v>
      </c>
      <c r="L264" s="6" t="s">
        <v>9</v>
      </c>
      <c r="M264" s="11" t="s">
        <v>1340</v>
      </c>
      <c r="N264" s="7" t="str">
        <f t="shared" si="14"/>
        <v>{"name": "Northgate Barracks", "map": "Haven", "fCoords": "4633, 774", "waCoords": "4634, 6398", "leaflet": "6540.493,  4727.551", "pinType": "City Guard", "mapRef": "Map Ref.: P21 (RX)", "type": "City Guard", "description": "A City Watch station."},</v>
      </c>
    </row>
    <row r="265" spans="1:14" ht="30" x14ac:dyDescent="0.25">
      <c r="A265" s="7" t="s">
        <v>578</v>
      </c>
      <c r="B265" s="7" t="s">
        <v>1187</v>
      </c>
      <c r="C265" s="6">
        <v>4823</v>
      </c>
      <c r="D265" s="6">
        <v>1255</v>
      </c>
      <c r="E265" s="6" t="str">
        <f>IFERROR(VLOOKUP($A265,tWA[],5,FALSE),"--")</f>
        <v>--</v>
      </c>
      <c r="F265" s="6" t="str">
        <f>IFERROR(VLOOKUP($A265,tWA[],6,FALSE),"--")</f>
        <v>--</v>
      </c>
      <c r="G265" s="18" t="s">
        <v>1969</v>
      </c>
      <c r="H265" s="18">
        <f t="shared" si="12"/>
        <v>6049.6770000000006</v>
      </c>
      <c r="I265" s="18" t="str">
        <f t="shared" si="13"/>
        <v>6049.677,  4921.429</v>
      </c>
      <c r="J265" s="6" t="s">
        <v>1218</v>
      </c>
      <c r="K265" s="6" t="s">
        <v>579</v>
      </c>
      <c r="L265" s="6" t="s">
        <v>400</v>
      </c>
      <c r="M265" s="11" t="s">
        <v>1226</v>
      </c>
      <c r="N265" s="7" t="str">
        <f t="shared" si="14"/>
        <v>{"name": "No-Yen Drachmah - Goldsmith", "map": "Haven", "fCoords": "4823, 1255", "waCoords": "--, --", "leaflet": "6049.677,  4921.429", "pinType": "Shopping", "mapRef": "Map Ref.: P19 (GK)", "type": "Banking", "description": ""},</v>
      </c>
    </row>
    <row r="266" spans="1:14" ht="30" x14ac:dyDescent="0.25">
      <c r="A266" s="7" t="s">
        <v>580</v>
      </c>
      <c r="B266" s="7" t="s">
        <v>1187</v>
      </c>
      <c r="C266" s="6">
        <v>1107</v>
      </c>
      <c r="D266" s="6">
        <v>4423</v>
      </c>
      <c r="E266" s="6" t="str">
        <f>IFERROR(VLOOKUP($A266,tWA[],5,FALSE),"--")</f>
        <v>--</v>
      </c>
      <c r="F266" s="6" t="str">
        <f>IFERROR(VLOOKUP($A266,tWA[],6,FALSE),"--")</f>
        <v>--</v>
      </c>
      <c r="G266" s="18" t="s">
        <v>1970</v>
      </c>
      <c r="H266" s="18">
        <f t="shared" si="12"/>
        <v>2817.0229999999997</v>
      </c>
      <c r="I266" s="18" t="str">
        <f t="shared" si="13"/>
        <v>2817.023,  1129.592</v>
      </c>
      <c r="J266" s="6" t="s">
        <v>1677</v>
      </c>
      <c r="K266" s="6" t="s">
        <v>581</v>
      </c>
      <c r="L266" s="6" t="s">
        <v>108</v>
      </c>
      <c r="M266" s="11" t="s">
        <v>1226</v>
      </c>
      <c r="N266" s="7" t="str">
        <f t="shared" si="14"/>
        <v>{"name": "Numirolakos the Gentler", "map": "Haven", "fCoords": "1107, 4423", "waCoords": "--, --", "leaflet": "2817.023,  1129.592", "pinType": "Service", "mapRef": "Map Ref.: C09 (PJ)", "type": "Animal Trainer", "description": ""},</v>
      </c>
    </row>
    <row r="267" spans="1:14" ht="30" x14ac:dyDescent="0.25">
      <c r="A267" s="7" t="s">
        <v>582</v>
      </c>
      <c r="B267" s="7" t="s">
        <v>1187</v>
      </c>
      <c r="C267" s="6">
        <v>2262</v>
      </c>
      <c r="D267" s="6">
        <v>4734</v>
      </c>
      <c r="E267" s="6" t="str">
        <f>IFERROR(VLOOKUP($A267,tWA[],5,FALSE),"--")</f>
        <v>--</v>
      </c>
      <c r="F267" s="6" t="str">
        <f>IFERROR(VLOOKUP($A267,tWA[],6,FALSE),"--")</f>
        <v>--</v>
      </c>
      <c r="G267" s="18" t="s">
        <v>1971</v>
      </c>
      <c r="H267" s="18">
        <f t="shared" si="12"/>
        <v>2499.6770000000001</v>
      </c>
      <c r="I267" s="18" t="str">
        <f t="shared" si="13"/>
        <v>2499.677,  2308.163</v>
      </c>
      <c r="J267" s="6" t="s">
        <v>1677</v>
      </c>
      <c r="K267" s="6" t="s">
        <v>583</v>
      </c>
      <c r="L267" s="6" t="s">
        <v>222</v>
      </c>
      <c r="M267" s="11" t="s">
        <v>1226</v>
      </c>
      <c r="N267" s="7" t="str">
        <f t="shared" si="14"/>
        <v>{"name": "Odino's Dance and Tumbling", "map": "Haven", "fCoords": "2262, 4734", "waCoords": "--, --", "leaflet": "2499.677,  2308.163", "pinType": "Service", "mapRef": "Map Ref.: G08 (MQ)", "type": "Training", "description": ""},</v>
      </c>
    </row>
    <row r="268" spans="1:14" ht="30" x14ac:dyDescent="0.25">
      <c r="A268" s="7" t="s">
        <v>584</v>
      </c>
      <c r="B268" s="7" t="s">
        <v>1187</v>
      </c>
      <c r="C268" s="6">
        <v>6096</v>
      </c>
      <c r="D268" s="6">
        <v>5004</v>
      </c>
      <c r="E268" s="6" t="str">
        <f>IFERROR(VLOOKUP($A268,tWA[],5,FALSE),"--")</f>
        <v>--</v>
      </c>
      <c r="F268" s="6" t="str">
        <f>IFERROR(VLOOKUP($A268,tWA[],6,FALSE),"--")</f>
        <v>--</v>
      </c>
      <c r="G268" s="18" t="s">
        <v>1972</v>
      </c>
      <c r="H268" s="18">
        <f t="shared" si="12"/>
        <v>2224.1659999999997</v>
      </c>
      <c r="I268" s="18" t="str">
        <f t="shared" si="13"/>
        <v>2224.166,  6220.408</v>
      </c>
      <c r="J268" s="6" t="s">
        <v>338</v>
      </c>
      <c r="K268" s="6" t="s">
        <v>585</v>
      </c>
      <c r="L268" s="6" t="s">
        <v>338</v>
      </c>
      <c r="M268" s="11" t="s">
        <v>1226</v>
      </c>
      <c r="N268" s="7" t="str">
        <f t="shared" si="14"/>
        <v>{"name": "Office of Ports and Shipping", "map": "Haven", "fCoords": "6096, 5004", "waCoords": "--, --", "leaflet": "2224.166,  6220.408", "pinType": "Government", "mapRef": "Map Ref.: U07 (BG)", "type": "Government", "description": ""},</v>
      </c>
    </row>
    <row r="269" spans="1:14" ht="30" x14ac:dyDescent="0.25">
      <c r="A269" s="7" t="s">
        <v>1169</v>
      </c>
      <c r="B269" s="7" t="s">
        <v>1187</v>
      </c>
      <c r="C269" s="6">
        <v>1924</v>
      </c>
      <c r="D269" s="6">
        <v>1660</v>
      </c>
      <c r="E269" s="6" t="str">
        <f>IFERROR(VLOOKUP($A269,tWA[],5,FALSE),"--")</f>
        <v>--</v>
      </c>
      <c r="F269" s="6" t="str">
        <f>IFERROR(VLOOKUP($A269,tWA[],6,FALSE),"--")</f>
        <v>--</v>
      </c>
      <c r="G269" s="18" t="s">
        <v>1973</v>
      </c>
      <c r="H269" s="18">
        <f t="shared" si="12"/>
        <v>5636.4110000000001</v>
      </c>
      <c r="I269" s="18" t="str">
        <f t="shared" si="13"/>
        <v>5636.411,  1963.265</v>
      </c>
      <c r="J269" s="6" t="s">
        <v>70</v>
      </c>
      <c r="K269" s="6" t="s">
        <v>586</v>
      </c>
      <c r="L269" s="6" t="s">
        <v>71</v>
      </c>
      <c r="M269" s="11" t="s">
        <v>1226</v>
      </c>
      <c r="N269" s="7" t="str">
        <f t="shared" si="14"/>
        <v>{"name": "Ohlfaardt Family Residence", "map": "Haven", "fCoords": "1924, 1660", "waCoords": "--, --", "leaflet": "5636.411,  1963.265", "pinType": "Residence", "mapRef": "Map Ref.: F18 (CZ)", "type": "Mansion", "description": ""},</v>
      </c>
    </row>
    <row r="270" spans="1:14" ht="60" x14ac:dyDescent="0.25">
      <c r="A270" s="7" t="s">
        <v>587</v>
      </c>
      <c r="B270" s="7" t="s">
        <v>1187</v>
      </c>
      <c r="C270" s="6">
        <v>1581</v>
      </c>
      <c r="D270" s="6">
        <v>4561</v>
      </c>
      <c r="E270" s="6" t="str">
        <f>IFERROR(VLOOKUP($A270,tWA[],5,FALSE),"--")</f>
        <v>1582</v>
      </c>
      <c r="F270" s="6" t="str">
        <f>IFERROR(VLOOKUP($A270,tWA[],6,FALSE),"--")</f>
        <v>2611</v>
      </c>
      <c r="G270" s="18" t="s">
        <v>1974</v>
      </c>
      <c r="H270" s="18">
        <f t="shared" si="12"/>
        <v>2676.2069999999999</v>
      </c>
      <c r="I270" s="18" t="str">
        <f t="shared" si="13"/>
        <v>2676.207,  1613.265</v>
      </c>
      <c r="J270" s="6" t="s">
        <v>1678</v>
      </c>
      <c r="K270" s="6" t="s">
        <v>588</v>
      </c>
      <c r="L270" s="6" t="s">
        <v>157</v>
      </c>
      <c r="M270" s="11" t="s">
        <v>1371</v>
      </c>
      <c r="N270" s="7" t="str">
        <f t="shared" si="14"/>
        <v>{"name": "Old City Walls", "map": "Haven", "fCoords": "1581, 4561", "waCoords": "1582, 2611", "leaflet": "2676.207,  1613.265", "pinType": "Landmark", "mapRef": "Map Ref.: E08 (SR)", "type": "Ruin", "description": "The remains of the city walls from over a century ago can still be found circling the inner parts of the city. For the most part they are crumbling or now form walls for newer buildings."},</v>
      </c>
    </row>
    <row r="271" spans="1:14" ht="30" x14ac:dyDescent="0.25">
      <c r="A271" s="7" t="s">
        <v>589</v>
      </c>
      <c r="B271" s="7" t="s">
        <v>1187</v>
      </c>
      <c r="C271" s="6">
        <v>4273</v>
      </c>
      <c r="D271" s="6">
        <v>3251</v>
      </c>
      <c r="E271" s="6" t="str">
        <f>IFERROR(VLOOKUP($A271,tWA[],5,FALSE),"--")</f>
        <v>--</v>
      </c>
      <c r="F271" s="6" t="str">
        <f>IFERROR(VLOOKUP($A271,tWA[],6,FALSE),"--")</f>
        <v>--</v>
      </c>
      <c r="G271" s="18" t="s">
        <v>1975</v>
      </c>
      <c r="H271" s="18">
        <f t="shared" si="12"/>
        <v>4012.942</v>
      </c>
      <c r="I271" s="18" t="str">
        <f t="shared" si="13"/>
        <v>4012.942,  4360.204</v>
      </c>
      <c r="J271" s="6" t="s">
        <v>1218</v>
      </c>
      <c r="K271" s="6" t="s">
        <v>590</v>
      </c>
      <c r="L271" s="6" t="s">
        <v>439</v>
      </c>
      <c r="M271" s="11" t="s">
        <v>1226</v>
      </c>
      <c r="N271" s="7" t="str">
        <f t="shared" si="14"/>
        <v>{"name": "Old Lea's Sweets", "map": "Haven", "fCoords": "4273, 3251", "waCoords": "--, --", "leaflet": "4012.942,  4360.204", "pinType": "Shopping", "mapRef": "Map Ref.: N13 (RH)", "type": "Confectioner", "description": ""},</v>
      </c>
    </row>
    <row r="272" spans="1:14" ht="30" x14ac:dyDescent="0.25">
      <c r="A272" s="7" t="s">
        <v>591</v>
      </c>
      <c r="B272" s="7" t="s">
        <v>1187</v>
      </c>
      <c r="C272" s="6">
        <v>4627</v>
      </c>
      <c r="D272" s="6">
        <v>5407</v>
      </c>
      <c r="E272" s="6" t="str">
        <f>IFERROR(VLOOKUP($A272,tWA[],5,FALSE),"--")</f>
        <v>--</v>
      </c>
      <c r="F272" s="6" t="str">
        <f>IFERROR(VLOOKUP($A272,tWA[],6,FALSE),"--")</f>
        <v>--</v>
      </c>
      <c r="G272" s="18" t="s">
        <v>1976</v>
      </c>
      <c r="H272" s="18">
        <f t="shared" si="12"/>
        <v>1812.942</v>
      </c>
      <c r="I272" s="18" t="str">
        <f t="shared" si="13"/>
        <v>1812.942,  4721.429</v>
      </c>
      <c r="J272" s="6" t="s">
        <v>1218</v>
      </c>
      <c r="K272" s="6" t="s">
        <v>592</v>
      </c>
      <c r="L272" s="6" t="s">
        <v>54</v>
      </c>
      <c r="M272" s="11" t="s">
        <v>1226</v>
      </c>
      <c r="N272" s="7" t="str">
        <f t="shared" si="14"/>
        <v>{"name": "Old Wall Market", "map": "Haven", "fCoords": "4627, 5407", "waCoords": "--, --", "leaflet": "1812.942,  4721.429", "pinType": "Shopping", "mapRef": "Map Ref.: P05 (EN)", "type": "General Goods", "description": ""},</v>
      </c>
    </row>
    <row r="273" spans="1:14" ht="30" x14ac:dyDescent="0.25">
      <c r="A273" s="7" t="s">
        <v>593</v>
      </c>
      <c r="B273" s="7" t="s">
        <v>1187</v>
      </c>
      <c r="C273" s="6">
        <v>2171</v>
      </c>
      <c r="D273" s="6">
        <v>4095</v>
      </c>
      <c r="E273" s="6" t="str">
        <f>IFERROR(VLOOKUP($A273,tWA[],5,FALSE),"--")</f>
        <v>--</v>
      </c>
      <c r="F273" s="6" t="str">
        <f>IFERROR(VLOOKUP($A273,tWA[],6,FALSE),"--")</f>
        <v>--</v>
      </c>
      <c r="G273" s="18" t="s">
        <v>1977</v>
      </c>
      <c r="H273" s="18">
        <f t="shared" si="12"/>
        <v>3151.7170000000001</v>
      </c>
      <c r="I273" s="18" t="str">
        <f t="shared" si="13"/>
        <v>3151.717,  2215.306</v>
      </c>
      <c r="J273" s="6" t="s">
        <v>1204</v>
      </c>
      <c r="K273" s="6" t="s">
        <v>594</v>
      </c>
      <c r="L273" s="6" t="s">
        <v>68</v>
      </c>
      <c r="M273" s="11" t="s">
        <v>1226</v>
      </c>
      <c r="N273" s="7" t="str">
        <f t="shared" si="14"/>
        <v>{"name": "Oldgate Tavern", "map": "Haven", "fCoords": "2171, 4095", "waCoords": "--, --", "leaflet": "3151.717,  2215.306", "pinType": "Inns &amp; Taverns", "mapRef": "Map Ref.: G10 (LV)", "type": "Tavern", "description": ""},</v>
      </c>
    </row>
    <row r="274" spans="1:14" ht="45" x14ac:dyDescent="0.25">
      <c r="A274" s="7" t="s">
        <v>595</v>
      </c>
      <c r="B274" s="7" t="s">
        <v>1187</v>
      </c>
      <c r="C274" s="6">
        <v>2060</v>
      </c>
      <c r="D274" s="6">
        <v>5064</v>
      </c>
      <c r="E274" s="6" t="str">
        <f>IFERROR(VLOOKUP($A274,tWA[],5,FALSE),"--")</f>
        <v>2067</v>
      </c>
      <c r="F274" s="6" t="str">
        <f>IFERROR(VLOOKUP($A274,tWA[],6,FALSE),"--")</f>
        <v>2126</v>
      </c>
      <c r="G274" s="18" t="s">
        <v>1978</v>
      </c>
      <c r="H274" s="18">
        <f t="shared" si="12"/>
        <v>2162.942</v>
      </c>
      <c r="I274" s="18" t="str">
        <f t="shared" si="13"/>
        <v>2162.942,  2102.041</v>
      </c>
      <c r="J274" s="6" t="s">
        <v>1199</v>
      </c>
      <c r="K274" s="6" t="s">
        <v>596</v>
      </c>
      <c r="L274" s="6" t="s">
        <v>276</v>
      </c>
      <c r="M274" s="11" t="s">
        <v>1347</v>
      </c>
      <c r="N274" s="7" t="str">
        <f t="shared" si="14"/>
        <v>{"name": "Open Air Theater of the Performing Arts", "map": "Haven", "fCoords": "2060, 5064", "waCoords": "2067, 2126", "leaflet": "2162.942,  2102.041", "pinType": "Entertainment", "mapRef": "Map Ref.: G07 (NA)", "type": "Theatre", "description": "An outdoor theatre"},</v>
      </c>
    </row>
    <row r="275" spans="1:14" ht="30" x14ac:dyDescent="0.25">
      <c r="A275" s="7" t="s">
        <v>597</v>
      </c>
      <c r="B275" s="7" t="s">
        <v>1187</v>
      </c>
      <c r="C275" s="6">
        <v>2294</v>
      </c>
      <c r="D275" s="6">
        <v>1090</v>
      </c>
      <c r="E275" s="6" t="str">
        <f>IFERROR(VLOOKUP($A275,tWA[],5,FALSE),"--")</f>
        <v>--</v>
      </c>
      <c r="F275" s="6" t="str">
        <f>IFERROR(VLOOKUP($A275,tWA[],6,FALSE),"--")</f>
        <v>--</v>
      </c>
      <c r="G275" s="18" t="s">
        <v>1979</v>
      </c>
      <c r="H275" s="18">
        <f t="shared" si="12"/>
        <v>6218.0440000000008</v>
      </c>
      <c r="I275" s="18" t="str">
        <f t="shared" si="13"/>
        <v>6218.044,  2340.816</v>
      </c>
      <c r="J275" s="6" t="s">
        <v>1677</v>
      </c>
      <c r="K275" s="6" t="s">
        <v>598</v>
      </c>
      <c r="L275" s="6" t="s">
        <v>475</v>
      </c>
      <c r="M275" s="11" t="s">
        <v>1226</v>
      </c>
      <c r="N275" s="7" t="str">
        <f t="shared" si="14"/>
        <v>{"name": "Othmar the Astrologer", "map": "Haven", "fCoords": "2294, 1090", "waCoords": "--, --", "leaflet": "6218.044,  2340.816", "pinType": "Service", "mapRef": "Map Ref.: G20 (CF)", "type": "Other Services", "description": ""},</v>
      </c>
    </row>
    <row r="276" spans="1:14" ht="30" x14ac:dyDescent="0.25">
      <c r="A276" s="7" t="s">
        <v>599</v>
      </c>
      <c r="B276" s="7" t="s">
        <v>1187</v>
      </c>
      <c r="C276" s="6">
        <v>1608</v>
      </c>
      <c r="D276" s="6">
        <v>3219</v>
      </c>
      <c r="E276" s="6" t="str">
        <f>IFERROR(VLOOKUP($A276,tWA[],5,FALSE),"--")</f>
        <v>--</v>
      </c>
      <c r="F276" s="6" t="str">
        <f>IFERROR(VLOOKUP($A276,tWA[],6,FALSE),"--")</f>
        <v>--</v>
      </c>
      <c r="G276" s="18" t="s">
        <v>1980</v>
      </c>
      <c r="H276" s="18">
        <f t="shared" si="12"/>
        <v>4045.5949999999998</v>
      </c>
      <c r="I276" s="18" t="str">
        <f t="shared" si="13"/>
        <v>4045.595,  1640.816</v>
      </c>
      <c r="J276" s="6" t="s">
        <v>1218</v>
      </c>
      <c r="K276" s="6" t="s">
        <v>600</v>
      </c>
      <c r="L276" s="6" t="s">
        <v>92</v>
      </c>
      <c r="M276" s="11" t="s">
        <v>1226</v>
      </c>
      <c r="N276" s="7" t="str">
        <f t="shared" si="14"/>
        <v>{"name": "Otto Chubb - Butcher", "map": "Haven", "fCoords": "1608, 3219", "waCoords": "--, --", "leaflet": "4045.595,  1640.816", "pinType": "Shopping", "mapRef": "Map Ref.: E13 (IT)", "type": "Butcher", "description": ""},</v>
      </c>
    </row>
    <row r="277" spans="1:14" ht="30" x14ac:dyDescent="0.25">
      <c r="A277" s="7" t="s">
        <v>601</v>
      </c>
      <c r="B277" s="7" t="s">
        <v>1187</v>
      </c>
      <c r="C277" s="6">
        <v>4718</v>
      </c>
      <c r="D277" s="6">
        <v>5051</v>
      </c>
      <c r="E277" s="6" t="str">
        <f>IFERROR(VLOOKUP($A277,tWA[],5,FALSE),"--")</f>
        <v>--</v>
      </c>
      <c r="F277" s="6" t="str">
        <f>IFERROR(VLOOKUP($A277,tWA[],6,FALSE),"--")</f>
        <v>--</v>
      </c>
      <c r="G277" s="18" t="s">
        <v>1981</v>
      </c>
      <c r="H277" s="18">
        <f t="shared" si="12"/>
        <v>2176.2069999999999</v>
      </c>
      <c r="I277" s="18" t="str">
        <f t="shared" si="13"/>
        <v>2176.207,  4814.286</v>
      </c>
      <c r="J277" s="6" t="s">
        <v>1218</v>
      </c>
      <c r="K277" s="6" t="s">
        <v>602</v>
      </c>
      <c r="L277" s="6" t="s">
        <v>39</v>
      </c>
      <c r="M277" s="11" t="s">
        <v>1226</v>
      </c>
      <c r="N277" s="7" t="str">
        <f t="shared" si="14"/>
        <v>{"name": "Paddy's Wagons", "map": "Haven", "fCoords": "4718, 5051", "waCoords": "--, --", "leaflet": "2176.207,  4814.286", "pinType": "Shopping", "mapRef": "Map Ref.: P07 (ER)", "type": "Wainwright", "description": ""},</v>
      </c>
    </row>
    <row r="278" spans="1:14" ht="30" x14ac:dyDescent="0.25">
      <c r="A278" s="7" t="s">
        <v>603</v>
      </c>
      <c r="B278" s="7" t="s">
        <v>1187</v>
      </c>
      <c r="C278" s="6">
        <v>845</v>
      </c>
      <c r="D278" s="6">
        <v>4427</v>
      </c>
      <c r="E278" s="6" t="str">
        <f>IFERROR(VLOOKUP($A278,tWA[],5,FALSE),"--")</f>
        <v>--</v>
      </c>
      <c r="F278" s="6" t="str">
        <f>IFERROR(VLOOKUP($A278,tWA[],6,FALSE),"--")</f>
        <v>--</v>
      </c>
      <c r="G278" s="18" t="s">
        <v>1982</v>
      </c>
      <c r="H278" s="18">
        <f t="shared" si="12"/>
        <v>2812.942</v>
      </c>
      <c r="I278" s="18" t="str">
        <f t="shared" si="13"/>
        <v>2812.942,  862.245</v>
      </c>
      <c r="J278" s="6" t="s">
        <v>1218</v>
      </c>
      <c r="K278" s="6" t="s">
        <v>604</v>
      </c>
      <c r="L278" s="6" t="s">
        <v>490</v>
      </c>
      <c r="M278" s="11" t="s">
        <v>1226</v>
      </c>
      <c r="N278" s="7" t="str">
        <f t="shared" si="14"/>
        <v>{"name": "Pando's Leather Gear", "map": "Haven", "fCoords": "845, 4427", "waCoords": "--, --", "leaflet": "2812.942,  862.245", "pinType": "Shopping", "mapRef": "Map Ref.: B09 (PW)", "type": "Leatherworker", "description": ""},</v>
      </c>
    </row>
    <row r="279" spans="1:14" ht="30" x14ac:dyDescent="0.25">
      <c r="A279" s="7" t="s">
        <v>605</v>
      </c>
      <c r="B279" s="7" t="s">
        <v>1187</v>
      </c>
      <c r="C279" s="6">
        <v>5387</v>
      </c>
      <c r="D279" s="6">
        <v>3207</v>
      </c>
      <c r="E279" s="6" t="str">
        <f>IFERROR(VLOOKUP($A279,tWA[],5,FALSE),"--")</f>
        <v>--</v>
      </c>
      <c r="F279" s="6" t="str">
        <f>IFERROR(VLOOKUP($A279,tWA[],6,FALSE),"--")</f>
        <v>--</v>
      </c>
      <c r="G279" s="18" t="s">
        <v>1983</v>
      </c>
      <c r="H279" s="18">
        <f t="shared" si="12"/>
        <v>4057.8399999999997</v>
      </c>
      <c r="I279" s="18" t="str">
        <f t="shared" si="13"/>
        <v>4057.84,  5496.939</v>
      </c>
      <c r="J279" s="6" t="s">
        <v>1218</v>
      </c>
      <c r="K279" s="6" t="s">
        <v>607</v>
      </c>
      <c r="L279" s="6" t="s">
        <v>606</v>
      </c>
      <c r="M279" s="11" t="s">
        <v>1226</v>
      </c>
      <c r="N279" s="7" t="str">
        <f t="shared" si="14"/>
        <v>{"name": "Pane in the Glass", "map": "Haven", "fCoords": "5387, 3207", "waCoords": "--, --", "leaflet": "4057.84,  5496.939", "pinType": "Shopping", "mapRef": "Map Ref.: R13 (SS)", "type": "Glass", "description": ""},</v>
      </c>
    </row>
    <row r="280" spans="1:14" ht="30" x14ac:dyDescent="0.25">
      <c r="A280" s="7" t="s">
        <v>608</v>
      </c>
      <c r="B280" s="7" t="s">
        <v>1187</v>
      </c>
      <c r="C280" s="6">
        <v>976</v>
      </c>
      <c r="D280" s="6">
        <v>4615</v>
      </c>
      <c r="E280" s="6" t="str">
        <f>IFERROR(VLOOKUP($A280,tWA[],5,FALSE),"--")</f>
        <v>--</v>
      </c>
      <c r="F280" s="6" t="str">
        <f>IFERROR(VLOOKUP($A280,tWA[],6,FALSE),"--")</f>
        <v>--</v>
      </c>
      <c r="G280" s="18" t="s">
        <v>1984</v>
      </c>
      <c r="H280" s="18">
        <f t="shared" si="12"/>
        <v>2621.105</v>
      </c>
      <c r="I280" s="18" t="str">
        <f t="shared" si="13"/>
        <v>2621.105,  995.918</v>
      </c>
      <c r="J280" s="6" t="s">
        <v>1218</v>
      </c>
      <c r="K280" s="6" t="s">
        <v>609</v>
      </c>
      <c r="L280" s="6" t="s">
        <v>78</v>
      </c>
      <c r="M280" s="11" t="s">
        <v>1226</v>
      </c>
      <c r="N280" s="7" t="str">
        <f t="shared" si="14"/>
        <v>{"name": "Pens and Barns of the Varrasches", "map": "Haven", "fCoords": "976, 4615", "waCoords": "--, --", "leaflet": "2621.105,  995.918", "pinType": "Shopping", "mapRef": "Map Ref.: C08 (PL)", "type": "Livestock", "description": ""},</v>
      </c>
    </row>
    <row r="281" spans="1:14" ht="30" x14ac:dyDescent="0.25">
      <c r="A281" s="7" t="s">
        <v>610</v>
      </c>
      <c r="B281" s="7" t="s">
        <v>1187</v>
      </c>
      <c r="C281" s="6">
        <v>6164</v>
      </c>
      <c r="D281" s="6">
        <v>5537</v>
      </c>
      <c r="E281" s="6" t="str">
        <f>IFERROR(VLOOKUP($A281,tWA[],5,FALSE),"--")</f>
        <v>--</v>
      </c>
      <c r="F281" s="6" t="str">
        <f>IFERROR(VLOOKUP($A281,tWA[],6,FALSE),"--")</f>
        <v>--</v>
      </c>
      <c r="G281" s="18" t="s">
        <v>1985</v>
      </c>
      <c r="H281" s="18">
        <f t="shared" si="12"/>
        <v>1680.289</v>
      </c>
      <c r="I281" s="18" t="str">
        <f t="shared" si="13"/>
        <v>1680.289,  6289.796</v>
      </c>
      <c r="J281" s="6" t="s">
        <v>1199</v>
      </c>
      <c r="K281" s="6" t="s">
        <v>611</v>
      </c>
      <c r="L281" s="6" t="s">
        <v>19</v>
      </c>
      <c r="M281" s="11" t="s">
        <v>1226</v>
      </c>
      <c r="N281" s="7" t="str">
        <f t="shared" si="14"/>
        <v>{"name": "Petals of the Rose", "map": "Haven", "fCoords": "6164, 5537", "waCoords": "--, --", "leaflet": "1680.289,  6289.796", "pinType": "Entertainment", "mapRef": "Map Ref.: U05 (AJ)", "type": "Brothel", "description": ""},</v>
      </c>
    </row>
    <row r="282" spans="1:14" ht="30" x14ac:dyDescent="0.25">
      <c r="A282" s="7" t="s">
        <v>612</v>
      </c>
      <c r="B282" s="7" t="s">
        <v>1187</v>
      </c>
      <c r="C282" s="6">
        <v>2272</v>
      </c>
      <c r="D282" s="6">
        <v>1049</v>
      </c>
      <c r="E282" s="6" t="str">
        <f>IFERROR(VLOOKUP($A282,tWA[],5,FALSE),"--")</f>
        <v>--</v>
      </c>
      <c r="F282" s="6" t="str">
        <f>IFERROR(VLOOKUP($A282,tWA[],6,FALSE),"--")</f>
        <v>--</v>
      </c>
      <c r="G282" s="18" t="s">
        <v>1986</v>
      </c>
      <c r="H282" s="18">
        <f t="shared" si="12"/>
        <v>6259.8810000000003</v>
      </c>
      <c r="I282" s="18" t="str">
        <f t="shared" si="13"/>
        <v>6259.881,  2318.367</v>
      </c>
      <c r="J282" s="6" t="s">
        <v>1218</v>
      </c>
      <c r="K282" s="6" t="s">
        <v>614</v>
      </c>
      <c r="L282" s="6" t="s">
        <v>613</v>
      </c>
      <c r="M282" s="11" t="s">
        <v>1226</v>
      </c>
      <c r="N282" s="7" t="str">
        <f t="shared" si="14"/>
        <v>{"name": "Pierre Farce's House of Beauty", "map": "Haven", "fCoords": "2272, 1049", "waCoords": "--, --", "leaflet": "6259.881,  2318.367", "pinType": "Shopping", "mapRef": "Map Ref.: G20 (CI)", "type": "Cosmetician", "description": ""},</v>
      </c>
    </row>
    <row r="283" spans="1:14" ht="30" x14ac:dyDescent="0.25">
      <c r="A283" s="7" t="s">
        <v>615</v>
      </c>
      <c r="B283" s="7" t="s">
        <v>1187</v>
      </c>
      <c r="C283" s="6">
        <v>5056</v>
      </c>
      <c r="D283" s="6">
        <v>3192</v>
      </c>
      <c r="E283" s="6" t="str">
        <f>IFERROR(VLOOKUP($A283,tWA[],5,FALSE),"--")</f>
        <v>--</v>
      </c>
      <c r="F283" s="6" t="str">
        <f>IFERROR(VLOOKUP($A283,tWA[],6,FALSE),"--")</f>
        <v>--</v>
      </c>
      <c r="G283" s="18" t="s">
        <v>1987</v>
      </c>
      <c r="H283" s="18">
        <f t="shared" si="12"/>
        <v>4073.1459999999997</v>
      </c>
      <c r="I283" s="18" t="str">
        <f t="shared" si="13"/>
        <v>4073.146,  5159.184</v>
      </c>
      <c r="J283" s="6" t="s">
        <v>1204</v>
      </c>
      <c r="K283" s="6" t="s">
        <v>616</v>
      </c>
      <c r="L283" s="6" t="s">
        <v>68</v>
      </c>
      <c r="M283" s="11" t="s">
        <v>1226</v>
      </c>
      <c r="N283" s="7" t="str">
        <f t="shared" si="14"/>
        <v>{"name": "Pilgrim's Progress Tavern", "map": "Haven", "fCoords": "5056, 3192", "waCoords": "--, --", "leaflet": "4073.146,  5159.184", "pinType": "Inns &amp; Taverns", "mapRef": "Map Ref.: Q13 (SP)", "type": "Tavern", "description": ""},</v>
      </c>
    </row>
    <row r="284" spans="1:14" ht="30" x14ac:dyDescent="0.25">
      <c r="A284" s="7" t="s">
        <v>617</v>
      </c>
      <c r="B284" s="7" t="s">
        <v>1187</v>
      </c>
      <c r="C284" s="6">
        <v>4153</v>
      </c>
      <c r="D284" s="6">
        <v>1009</v>
      </c>
      <c r="E284" s="6" t="str">
        <f>IFERROR(VLOOKUP($A284,tWA[],5,FALSE),"--")</f>
        <v>--</v>
      </c>
      <c r="F284" s="6" t="str">
        <f>IFERROR(VLOOKUP($A284,tWA[],6,FALSE),"--")</f>
        <v>--</v>
      </c>
      <c r="G284" s="18" t="s">
        <v>1988</v>
      </c>
      <c r="H284" s="18">
        <f t="shared" si="12"/>
        <v>6300.6970000000001</v>
      </c>
      <c r="I284" s="18" t="str">
        <f t="shared" si="13"/>
        <v>6300.697,  4237.755</v>
      </c>
      <c r="J284" s="6" t="s">
        <v>1218</v>
      </c>
      <c r="K284" s="6" t="s">
        <v>618</v>
      </c>
      <c r="L284" s="6" t="s">
        <v>62</v>
      </c>
      <c r="M284" s="11" t="s">
        <v>1226</v>
      </c>
      <c r="N284" s="7" t="str">
        <f t="shared" si="14"/>
        <v>{"name": "Piper's", "map": "Haven", "fCoords": "4153, 1009", "waCoords": "--, --", "leaflet": "6300.697,  4237.755", "pinType": "Shopping", "mapRef": "Map Ref.: N20 (NP)", "type": "General Clothing", "description": ""},</v>
      </c>
    </row>
    <row r="285" spans="1:14" ht="30" x14ac:dyDescent="0.25">
      <c r="A285" s="7" t="s">
        <v>619</v>
      </c>
      <c r="B285" s="7" t="s">
        <v>1187</v>
      </c>
      <c r="C285" s="6">
        <v>2352</v>
      </c>
      <c r="D285" s="6">
        <v>1039</v>
      </c>
      <c r="E285" s="6" t="str">
        <f>IFERROR(VLOOKUP($A285,tWA[],5,FALSE),"--")</f>
        <v>--</v>
      </c>
      <c r="F285" s="6" t="str">
        <f>IFERROR(VLOOKUP($A285,tWA[],6,FALSE),"--")</f>
        <v>--</v>
      </c>
      <c r="G285" s="18" t="s">
        <v>1989</v>
      </c>
      <c r="H285" s="18">
        <f t="shared" si="12"/>
        <v>6270.085</v>
      </c>
      <c r="I285" s="18" t="str">
        <f t="shared" si="13"/>
        <v>6270.085,  2400.</v>
      </c>
      <c r="J285" s="6" t="s">
        <v>1218</v>
      </c>
      <c r="K285" s="6" t="s">
        <v>620</v>
      </c>
      <c r="L285" s="6" t="s">
        <v>57</v>
      </c>
      <c r="M285" s="11" t="s">
        <v>1226</v>
      </c>
      <c r="N285" s="7" t="str">
        <f t="shared" si="14"/>
        <v>{"name": "Pirandello's Pastries", "map": "Haven", "fCoords": "2352, 1039", "waCoords": "--, --", "leaflet": "6270.085,  2400.", "pinType": "Shopping", "mapRef": "Map Ref.: H20 (CQ)", "type": "Baker", "description": ""},</v>
      </c>
    </row>
    <row r="286" spans="1:14" ht="30" x14ac:dyDescent="0.25">
      <c r="A286" s="7" t="s">
        <v>621</v>
      </c>
      <c r="B286" s="7" t="s">
        <v>1187</v>
      </c>
      <c r="C286" s="6">
        <v>2646</v>
      </c>
      <c r="D286" s="6">
        <v>5212</v>
      </c>
      <c r="E286" s="6" t="str">
        <f>IFERROR(VLOOKUP($A286,tWA[],5,FALSE),"--")</f>
        <v>--</v>
      </c>
      <c r="F286" s="6" t="str">
        <f>IFERROR(VLOOKUP($A286,tWA[],6,FALSE),"--")</f>
        <v>--</v>
      </c>
      <c r="G286" s="18" t="s">
        <v>1990</v>
      </c>
      <c r="H286" s="18">
        <f t="shared" si="12"/>
        <v>2011.9209999999998</v>
      </c>
      <c r="I286" s="18" t="str">
        <f t="shared" si="13"/>
        <v>2011.921,  2700.</v>
      </c>
      <c r="J286" s="6" t="s">
        <v>1218</v>
      </c>
      <c r="K286" s="6" t="s">
        <v>622</v>
      </c>
      <c r="L286" s="6" t="s">
        <v>54</v>
      </c>
      <c r="M286" s="11" t="s">
        <v>1226</v>
      </c>
      <c r="N286" s="7" t="str">
        <f t="shared" si="14"/>
        <v>{"name": "Piringolli's", "map": "Haven", "fCoords": "2646, 5212", "waCoords": "--, --", "leaflet": "2011.921,  2700.", "pinType": "Shopping", "mapRef": "Map Ref.: I06 (PD)", "type": "General Goods", "description": ""},</v>
      </c>
    </row>
    <row r="287" spans="1:14" ht="30" x14ac:dyDescent="0.25">
      <c r="A287" s="7" t="s">
        <v>623</v>
      </c>
      <c r="B287" s="7" t="s">
        <v>1187</v>
      </c>
      <c r="C287" s="6">
        <v>4814</v>
      </c>
      <c r="D287" s="6">
        <v>5820</v>
      </c>
      <c r="E287" s="6" t="str">
        <f>IFERROR(VLOOKUP($A287,tWA[],5,FALSE),"--")</f>
        <v>--</v>
      </c>
      <c r="F287" s="6" t="str">
        <f>IFERROR(VLOOKUP($A287,tWA[],6,FALSE),"--")</f>
        <v>--</v>
      </c>
      <c r="G287" s="18" t="s">
        <v>1991</v>
      </c>
      <c r="H287" s="18">
        <f t="shared" si="12"/>
        <v>1391.5129999999999</v>
      </c>
      <c r="I287" s="18" t="str">
        <f t="shared" si="13"/>
        <v>1391.513,  4912.245</v>
      </c>
      <c r="J287" s="6" t="s">
        <v>1677</v>
      </c>
      <c r="K287" s="6" t="s">
        <v>624</v>
      </c>
      <c r="L287" s="6" t="s">
        <v>222</v>
      </c>
      <c r="M287" s="11" t="s">
        <v>1226</v>
      </c>
      <c r="N287" s="7" t="str">
        <f t="shared" si="14"/>
        <v>{"name": "Pocheffski's School of Arms", "map": "Haven", "fCoords": "4814, 5820", "waCoords": "--, --", "leaflet": "1391.513,  4912.245", "pinType": "Service", "mapRef": "Map Ref.: P04 (FX)", "type": "Training", "description": ""},</v>
      </c>
    </row>
    <row r="288" spans="1:14" ht="30" x14ac:dyDescent="0.25">
      <c r="A288" s="7" t="s">
        <v>625</v>
      </c>
      <c r="B288" s="7" t="s">
        <v>1187</v>
      </c>
      <c r="C288" s="6">
        <v>471</v>
      </c>
      <c r="D288" s="6">
        <v>4320</v>
      </c>
      <c r="E288" s="6" t="str">
        <f>IFERROR(VLOOKUP($A288,tWA[],5,FALSE),"--")</f>
        <v>--</v>
      </c>
      <c r="F288" s="6" t="str">
        <f>IFERROR(VLOOKUP($A288,tWA[],6,FALSE),"--")</f>
        <v>--</v>
      </c>
      <c r="G288" s="18" t="s">
        <v>1992</v>
      </c>
      <c r="H288" s="18">
        <f t="shared" si="12"/>
        <v>2922.1259999999997</v>
      </c>
      <c r="I288" s="18" t="str">
        <f t="shared" si="13"/>
        <v>2922.126,  480.612</v>
      </c>
      <c r="J288" s="6" t="s">
        <v>1204</v>
      </c>
      <c r="K288" s="6" t="s">
        <v>626</v>
      </c>
      <c r="L288" s="6" t="s">
        <v>68</v>
      </c>
      <c r="M288" s="11" t="s">
        <v>1226</v>
      </c>
      <c r="N288" s="7" t="str">
        <f t="shared" si="14"/>
        <v>{"name": "Poor Larry's", "map": "Haven", "fCoords": "471, 4320", "waCoords": "--, --", "leaflet": "2922.126,  480.612", "pinType": "Inns &amp; Taverns", "mapRef": "Map Ref.: A09 (PV)", "type": "Tavern", "description": ""},</v>
      </c>
    </row>
    <row r="289" spans="1:14" ht="30" x14ac:dyDescent="0.25">
      <c r="A289" s="7" t="s">
        <v>627</v>
      </c>
      <c r="B289" s="7" t="s">
        <v>1187</v>
      </c>
      <c r="C289" s="6">
        <v>3796</v>
      </c>
      <c r="D289" s="6">
        <v>5039</v>
      </c>
      <c r="E289" s="6" t="str">
        <f>IFERROR(VLOOKUP($A289,tWA[],5,FALSE),"--")</f>
        <v>--</v>
      </c>
      <c r="F289" s="6" t="str">
        <f>IFERROR(VLOOKUP($A289,tWA[],6,FALSE),"--")</f>
        <v>--</v>
      </c>
      <c r="G289" s="18" t="s">
        <v>1993</v>
      </c>
      <c r="H289" s="18">
        <f t="shared" si="12"/>
        <v>2188.4519999999998</v>
      </c>
      <c r="I289" s="18" t="str">
        <f t="shared" si="13"/>
        <v>2188.452,  3873.469</v>
      </c>
      <c r="J289" s="6" t="s">
        <v>1199</v>
      </c>
      <c r="K289" s="6" t="s">
        <v>628</v>
      </c>
      <c r="L289" s="6" t="s">
        <v>19</v>
      </c>
      <c r="M289" s="11" t="s">
        <v>1226</v>
      </c>
      <c r="N289" s="7" t="str">
        <f t="shared" si="14"/>
        <v>{"name": "Potiphar's House", "map": "Haven", "fCoords": "3796, 5039", "waCoords": "--, --", "leaflet": "2188.452,  3873.469", "pinType": "Entertainment", "mapRef": "Map Ref.: M07 (EA)", "type": "Brothel", "description": ""},</v>
      </c>
    </row>
    <row r="290" spans="1:14" ht="30" x14ac:dyDescent="0.25">
      <c r="A290" s="7" t="s">
        <v>629</v>
      </c>
      <c r="B290" s="7" t="s">
        <v>1187</v>
      </c>
      <c r="C290" s="6">
        <v>3086</v>
      </c>
      <c r="D290" s="6">
        <v>3941</v>
      </c>
      <c r="E290" s="6" t="str">
        <f>IFERROR(VLOOKUP($A290,tWA[],5,FALSE),"--")</f>
        <v>--</v>
      </c>
      <c r="F290" s="6" t="str">
        <f>IFERROR(VLOOKUP($A290,tWA[],6,FALSE),"--")</f>
        <v>--</v>
      </c>
      <c r="G290" s="18" t="s">
        <v>1994</v>
      </c>
      <c r="H290" s="18">
        <f t="shared" si="12"/>
        <v>3308.86</v>
      </c>
      <c r="I290" s="18" t="str">
        <f t="shared" si="13"/>
        <v>3308.86,  3148.98</v>
      </c>
      <c r="J290" s="6" t="s">
        <v>1199</v>
      </c>
      <c r="K290" s="6" t="s">
        <v>631</v>
      </c>
      <c r="L290" s="6" t="s">
        <v>630</v>
      </c>
      <c r="M290" s="11" t="s">
        <v>1226</v>
      </c>
      <c r="N290" s="7" t="str">
        <f t="shared" si="14"/>
        <v>{"name": "Professor's Challenge", "map": "Haven", "fCoords": "3086, 3941", "waCoords": "--, --", "leaflet": "3308.86,  3148.98", "pinType": "Entertainment", "mapRef": "Map Ref.: J10 (JF)", "type": "Gaming", "description": ""},</v>
      </c>
    </row>
    <row r="291" spans="1:14" ht="30" x14ac:dyDescent="0.25">
      <c r="A291" s="7" t="s">
        <v>632</v>
      </c>
      <c r="B291" s="7" t="s">
        <v>1187</v>
      </c>
      <c r="C291" s="6">
        <v>2362</v>
      </c>
      <c r="D291" s="6">
        <v>5284</v>
      </c>
      <c r="E291" s="6" t="str">
        <f>IFERROR(VLOOKUP($A291,tWA[],5,FALSE),"--")</f>
        <v>--</v>
      </c>
      <c r="F291" s="6" t="str">
        <f>IFERROR(VLOOKUP($A291,tWA[],6,FALSE),"--")</f>
        <v>--</v>
      </c>
      <c r="G291" s="18" t="s">
        <v>1995</v>
      </c>
      <c r="H291" s="18">
        <f t="shared" si="12"/>
        <v>1938.452</v>
      </c>
      <c r="I291" s="18" t="str">
        <f t="shared" si="13"/>
        <v>1938.452,  2410.204</v>
      </c>
      <c r="J291" s="6" t="s">
        <v>1677</v>
      </c>
      <c r="K291" s="6" t="s">
        <v>633</v>
      </c>
      <c r="L291" s="6" t="s">
        <v>222</v>
      </c>
      <c r="M291" s="11" t="s">
        <v>1226</v>
      </c>
      <c r="N291" s="7" t="str">
        <f t="shared" si="14"/>
        <v>{"name": "Profundo's Studio", "map": "Haven", "fCoords": "2362, 5284", "waCoords": "--, --", "leaflet": "1938.452,  2410.204", "pinType": "Service", "mapRef": "Map Ref.: H06 (SL)", "type": "Training", "description": ""},</v>
      </c>
    </row>
    <row r="292" spans="1:14" ht="30" x14ac:dyDescent="0.25">
      <c r="A292" s="7" t="s">
        <v>634</v>
      </c>
      <c r="B292" s="7" t="s">
        <v>1187</v>
      </c>
      <c r="C292" s="6">
        <v>816</v>
      </c>
      <c r="D292" s="6">
        <v>4551</v>
      </c>
      <c r="E292" s="6" t="str">
        <f>IFERROR(VLOOKUP($A292,tWA[],5,FALSE),"--")</f>
        <v>--</v>
      </c>
      <c r="F292" s="6" t="str">
        <f>IFERROR(VLOOKUP($A292,tWA[],6,FALSE),"--")</f>
        <v>--</v>
      </c>
      <c r="G292" s="18" t="s">
        <v>1996</v>
      </c>
      <c r="H292" s="18">
        <f t="shared" si="12"/>
        <v>2686.4110000000001</v>
      </c>
      <c r="I292" s="18" t="str">
        <f t="shared" si="13"/>
        <v>2686.411,  832.653</v>
      </c>
      <c r="J292" s="6" t="s">
        <v>1218</v>
      </c>
      <c r="K292" s="6" t="s">
        <v>635</v>
      </c>
      <c r="L292" s="6" t="s">
        <v>78</v>
      </c>
      <c r="M292" s="11" t="s">
        <v>1226</v>
      </c>
      <c r="N292" s="7" t="str">
        <f t="shared" si="14"/>
        <v>{"name": "Public Corrals and Pens", "map": "Haven", "fCoords": "816, 4551", "waCoords": "--, --", "leaflet": "2686.411,  832.653", "pinType": "Shopping", "mapRef": "Map Ref.: B08 (PS)", "type": "Livestock", "description": ""},</v>
      </c>
    </row>
    <row r="293" spans="1:14" ht="30" x14ac:dyDescent="0.25">
      <c r="A293" s="7" t="s">
        <v>636</v>
      </c>
      <c r="B293" s="7" t="s">
        <v>1187</v>
      </c>
      <c r="C293" s="6">
        <v>2463</v>
      </c>
      <c r="D293" s="6">
        <v>4550</v>
      </c>
      <c r="E293" s="6" t="str">
        <f>IFERROR(VLOOKUP($A293,tWA[],5,FALSE),"--")</f>
        <v>--</v>
      </c>
      <c r="F293" s="6" t="str">
        <f>IFERROR(VLOOKUP($A293,tWA[],6,FALSE),"--")</f>
        <v>--</v>
      </c>
      <c r="G293" s="18" t="s">
        <v>1997</v>
      </c>
      <c r="H293" s="18">
        <f t="shared" si="12"/>
        <v>2687.4319999999998</v>
      </c>
      <c r="I293" s="18" t="str">
        <f t="shared" si="13"/>
        <v>2687.432,  2513.265</v>
      </c>
      <c r="J293" s="6" t="s">
        <v>1678</v>
      </c>
      <c r="K293" s="6" t="s">
        <v>638</v>
      </c>
      <c r="L293" s="6" t="s">
        <v>637</v>
      </c>
      <c r="M293" s="11" t="s">
        <v>1226</v>
      </c>
      <c r="N293" s="7" t="str">
        <f t="shared" si="14"/>
        <v>{"name": "Public Square", "map": "Haven", "fCoords": "2463, 4550", "waCoords": "--, --", "leaflet": "2687.432,  2513.265", "pinType": "Landmark", "mapRef": "Map Ref.: H08 (NB)", "type": "Square", "description": ""},</v>
      </c>
    </row>
    <row r="294" spans="1:14" ht="30" x14ac:dyDescent="0.25">
      <c r="A294" s="7" t="s">
        <v>639</v>
      </c>
      <c r="B294" s="7" t="s">
        <v>1187</v>
      </c>
      <c r="C294" s="6">
        <v>996</v>
      </c>
      <c r="D294" s="6">
        <v>4553</v>
      </c>
      <c r="E294" s="6" t="str">
        <f>IFERROR(VLOOKUP($A294,tWA[],5,FALSE),"--")</f>
        <v>--</v>
      </c>
      <c r="F294" s="6" t="str">
        <f>IFERROR(VLOOKUP($A294,tWA[],6,FALSE),"--")</f>
        <v>--</v>
      </c>
      <c r="G294" s="18" t="s">
        <v>1998</v>
      </c>
      <c r="H294" s="18">
        <f t="shared" si="12"/>
        <v>2684.37</v>
      </c>
      <c r="I294" s="18" t="str">
        <f t="shared" si="13"/>
        <v>2684.37,  1016.327</v>
      </c>
      <c r="J294" s="6" t="s">
        <v>1677</v>
      </c>
      <c r="K294" s="6" t="s">
        <v>640</v>
      </c>
      <c r="L294" s="6" t="s">
        <v>343</v>
      </c>
      <c r="M294" s="11" t="s">
        <v>1226</v>
      </c>
      <c r="N294" s="7" t="str">
        <f t="shared" si="14"/>
        <v>{"name": "Public Stables and Rental", "map": "Haven", "fCoords": "996, 4553", "waCoords": "--, --", "leaflet": "2684.37,  1016.327", "pinType": "Service", "mapRef": "Map Ref.: C08 (PY)", "type": "Stable", "description": ""},</v>
      </c>
    </row>
    <row r="295" spans="1:14" ht="30" x14ac:dyDescent="0.25">
      <c r="A295" s="7" t="s">
        <v>641</v>
      </c>
      <c r="B295" s="7" t="s">
        <v>1187</v>
      </c>
      <c r="C295" s="6">
        <v>3386</v>
      </c>
      <c r="D295" s="6">
        <v>3804</v>
      </c>
      <c r="E295" s="6" t="str">
        <f>IFERROR(VLOOKUP($A295,tWA[],5,FALSE),"--")</f>
        <v>--</v>
      </c>
      <c r="F295" s="6" t="str">
        <f>IFERROR(VLOOKUP($A295,tWA[],6,FALSE),"--")</f>
        <v>--</v>
      </c>
      <c r="G295" s="18" t="s">
        <v>1999</v>
      </c>
      <c r="H295" s="18">
        <f t="shared" si="12"/>
        <v>3448.6559999999999</v>
      </c>
      <c r="I295" s="18" t="str">
        <f t="shared" si="13"/>
        <v>3448.656,  3455.102</v>
      </c>
      <c r="J295" s="6" t="s">
        <v>1218</v>
      </c>
      <c r="K295" s="6" t="s">
        <v>642</v>
      </c>
      <c r="L295" s="6" t="s">
        <v>208</v>
      </c>
      <c r="M295" s="11" t="s">
        <v>1226</v>
      </c>
      <c r="N295" s="7" t="str">
        <f t="shared" si="14"/>
        <v>{"name": "Queen Takes Pawn", "map": "Haven", "fCoords": "3386, 3804", "waCoords": "--, --", "leaflet": "3448.656,  3455.102", "pinType": "Shopping", "mapRef": "Map Ref.: K11 (IZ)", "type": "Pawnbroker", "description": ""},</v>
      </c>
    </row>
    <row r="296" spans="1:14" ht="30" x14ac:dyDescent="0.25">
      <c r="A296" s="7" t="s">
        <v>643</v>
      </c>
      <c r="B296" s="7" t="s">
        <v>1187</v>
      </c>
      <c r="C296" s="6">
        <v>2506</v>
      </c>
      <c r="D296" s="6">
        <v>4927</v>
      </c>
      <c r="E296" s="6" t="str">
        <f>IFERROR(VLOOKUP($A296,tWA[],5,FALSE),"--")</f>
        <v>--</v>
      </c>
      <c r="F296" s="6" t="str">
        <f>IFERROR(VLOOKUP($A296,tWA[],6,FALSE),"--")</f>
        <v>--</v>
      </c>
      <c r="G296" s="18" t="s">
        <v>2000</v>
      </c>
      <c r="H296" s="18">
        <f t="shared" si="12"/>
        <v>2302.7379999999998</v>
      </c>
      <c r="I296" s="18" t="str">
        <f t="shared" si="13"/>
        <v>2302.738,  2557.143</v>
      </c>
      <c r="J296" s="6" t="s">
        <v>1677</v>
      </c>
      <c r="K296" s="6" t="s">
        <v>644</v>
      </c>
      <c r="L296" s="6" t="s">
        <v>475</v>
      </c>
      <c r="M296" s="11" t="s">
        <v>1226</v>
      </c>
      <c r="N296" s="7" t="str">
        <f t="shared" si="14"/>
        <v>{"name": "R. Thor Gofree - Talent Scout", "map": "Haven", "fCoords": "2506, 4927", "waCoords": "--, --", "leaflet": "2302.738,  2557.143", "pinType": "Service", "mapRef": "Map Ref.: H07 (NO)", "type": "Other Services", "description": ""},</v>
      </c>
    </row>
    <row r="297" spans="1:14" ht="30" x14ac:dyDescent="0.25">
      <c r="A297" s="7" t="s">
        <v>645</v>
      </c>
      <c r="B297" s="7" t="s">
        <v>1187</v>
      </c>
      <c r="C297" s="6">
        <v>3076</v>
      </c>
      <c r="D297" s="6">
        <v>5722</v>
      </c>
      <c r="E297" s="6" t="str">
        <f>IFERROR(VLOOKUP($A297,tWA[],5,FALSE),"--")</f>
        <v>--</v>
      </c>
      <c r="F297" s="6" t="str">
        <f>IFERROR(VLOOKUP($A297,tWA[],6,FALSE),"--")</f>
        <v>--</v>
      </c>
      <c r="G297" s="18" t="s">
        <v>2001</v>
      </c>
      <c r="H297" s="18">
        <f t="shared" si="12"/>
        <v>1491.5129999999999</v>
      </c>
      <c r="I297" s="18" t="str">
        <f t="shared" si="13"/>
        <v>1491.513,  3138.776</v>
      </c>
      <c r="J297" s="6" t="s">
        <v>1199</v>
      </c>
      <c r="K297" s="6" t="s">
        <v>647</v>
      </c>
      <c r="L297" s="6" t="s">
        <v>646</v>
      </c>
      <c r="M297" s="11" t="s">
        <v>1226</v>
      </c>
      <c r="N297" s="7" t="str">
        <f t="shared" si="14"/>
        <v>{"name": "Rackley's Museum of Oddities", "map": "Haven", "fCoords": "3076, 5722", "waCoords": "--, --", "leaflet": "1491.513,  3138.776", "pinType": "Entertainment", "mapRef": "Map Ref.: J04 (OZ)", "type": "Museum", "description": ""},</v>
      </c>
    </row>
    <row r="298" spans="1:14" ht="30" x14ac:dyDescent="0.25">
      <c r="A298" s="7" t="s">
        <v>648</v>
      </c>
      <c r="B298" s="7" t="s">
        <v>1187</v>
      </c>
      <c r="C298" s="6">
        <v>4437</v>
      </c>
      <c r="D298" s="6">
        <v>3392</v>
      </c>
      <c r="E298" s="6" t="str">
        <f>IFERROR(VLOOKUP($A298,tWA[],5,FALSE),"--")</f>
        <v>--</v>
      </c>
      <c r="F298" s="6" t="str">
        <f>IFERROR(VLOOKUP($A298,tWA[],6,FALSE),"--")</f>
        <v>--</v>
      </c>
      <c r="G298" s="18" t="s">
        <v>2002</v>
      </c>
      <c r="H298" s="18">
        <f t="shared" si="12"/>
        <v>3869.0639999999999</v>
      </c>
      <c r="I298" s="18" t="str">
        <f t="shared" si="13"/>
        <v>3869.064,  4527.551</v>
      </c>
      <c r="J298" s="6" t="s">
        <v>1218</v>
      </c>
      <c r="K298" s="6" t="s">
        <v>649</v>
      </c>
      <c r="L298" s="6" t="s">
        <v>217</v>
      </c>
      <c r="M298" s="11" t="s">
        <v>1226</v>
      </c>
      <c r="N298" s="7" t="str">
        <f t="shared" si="14"/>
        <v>{"name": "Raku the Potter", "map": "Haven", "fCoords": "4437, 3392", "waCoords": "--, --", "leaflet": "3869.064,  4527.551", "pinType": "Shopping", "mapRef": "Map Ref.: O12 (RG)", "type": "Potter", "description": ""},</v>
      </c>
    </row>
    <row r="299" spans="1:14" ht="30" x14ac:dyDescent="0.25">
      <c r="A299" s="7" t="s">
        <v>650</v>
      </c>
      <c r="B299" s="7" t="s">
        <v>1187</v>
      </c>
      <c r="C299" s="6">
        <v>835</v>
      </c>
      <c r="D299" s="6">
        <v>3131</v>
      </c>
      <c r="E299" s="6" t="str">
        <f>IFERROR(VLOOKUP($A299,tWA[],5,FALSE),"--")</f>
        <v>--</v>
      </c>
      <c r="F299" s="6" t="str">
        <f>IFERROR(VLOOKUP($A299,tWA[],6,FALSE),"--")</f>
        <v>--</v>
      </c>
      <c r="G299" s="18" t="s">
        <v>2003</v>
      </c>
      <c r="H299" s="18">
        <f t="shared" si="12"/>
        <v>4135.3910000000005</v>
      </c>
      <c r="I299" s="18" t="str">
        <f t="shared" si="13"/>
        <v>4135.391,  852.041</v>
      </c>
      <c r="J299" s="6" t="s">
        <v>1218</v>
      </c>
      <c r="K299" s="6" t="s">
        <v>651</v>
      </c>
      <c r="L299" s="6" t="s">
        <v>62</v>
      </c>
      <c r="M299" s="11" t="s">
        <v>1226</v>
      </c>
      <c r="N299" s="7" t="str">
        <f t="shared" si="14"/>
        <v>{"name": "Ralki - Men's Tailor", "map": "Haven", "fCoords": "835, 3131", "waCoords": "--, --", "leaflet": "4135.391,  852.041", "pinType": "Shopping", "mapRef": "Map Ref.: B13 (IE)", "type": "General Clothing", "description": ""},</v>
      </c>
    </row>
    <row r="300" spans="1:14" ht="30" x14ac:dyDescent="0.25">
      <c r="A300" s="7" t="s">
        <v>1170</v>
      </c>
      <c r="B300" s="7" t="s">
        <v>1187</v>
      </c>
      <c r="C300" s="6">
        <v>4100</v>
      </c>
      <c r="D300" s="6">
        <v>1425</v>
      </c>
      <c r="E300" s="6" t="str">
        <f>IFERROR(VLOOKUP($A300,tWA[],5,FALSE),"--")</f>
        <v>--</v>
      </c>
      <c r="F300" s="6" t="str">
        <f>IFERROR(VLOOKUP($A300,tWA[],6,FALSE),"--")</f>
        <v>--</v>
      </c>
      <c r="G300" s="18" t="s">
        <v>2004</v>
      </c>
      <c r="H300" s="18">
        <f t="shared" si="12"/>
        <v>5876.2070000000003</v>
      </c>
      <c r="I300" s="18" t="str">
        <f t="shared" si="13"/>
        <v>5876.207,  4183.673</v>
      </c>
      <c r="J300" s="6" t="s">
        <v>70</v>
      </c>
      <c r="K300" s="6" t="s">
        <v>652</v>
      </c>
      <c r="L300" s="6" t="s">
        <v>71</v>
      </c>
      <c r="M300" s="11" t="s">
        <v>1226</v>
      </c>
      <c r="N300" s="7" t="str">
        <f t="shared" si="14"/>
        <v>{"name": "Rand Family Residence", "map": "Haven", "fCoords": "4100, 1425", "waCoords": "--, --", "leaflet": "5876.207,  4183.673", "pinType": "Residence", "mapRef": "Map Ref.: N19 (UC)", "type": "Mansion", "description": ""},</v>
      </c>
    </row>
    <row r="301" spans="1:14" ht="30" x14ac:dyDescent="0.25">
      <c r="A301" s="7" t="s">
        <v>653</v>
      </c>
      <c r="B301" s="7" t="s">
        <v>1187</v>
      </c>
      <c r="C301" s="6">
        <v>6196</v>
      </c>
      <c r="D301" s="6">
        <v>5504</v>
      </c>
      <c r="E301" s="6" t="str">
        <f>IFERROR(VLOOKUP($A301,tWA[],5,FALSE),"--")</f>
        <v>--</v>
      </c>
      <c r="F301" s="6" t="str">
        <f>IFERROR(VLOOKUP($A301,tWA[],6,FALSE),"--")</f>
        <v>--</v>
      </c>
      <c r="G301" s="18" t="s">
        <v>2005</v>
      </c>
      <c r="H301" s="18">
        <f t="shared" si="12"/>
        <v>1713.962</v>
      </c>
      <c r="I301" s="18" t="str">
        <f t="shared" si="13"/>
        <v>1713.962,  6322.449</v>
      </c>
      <c r="J301" s="6" t="s">
        <v>1204</v>
      </c>
      <c r="K301" s="6" t="s">
        <v>654</v>
      </c>
      <c r="L301" s="6" t="s">
        <v>68</v>
      </c>
      <c r="M301" s="11" t="s">
        <v>1226</v>
      </c>
      <c r="N301" s="7" t="str">
        <f t="shared" si="14"/>
        <v>{"name": "Red Nick's Tavern", "map": "Haven", "fCoords": "6196, 5504", "waCoords": "--, --", "leaflet": "1713.962,  6322.449", "pinType": "Inns &amp; Taverns", "mapRef": "Map Ref.: U05 (AX)", "type": "Tavern", "description": ""},</v>
      </c>
    </row>
    <row r="302" spans="1:14" ht="30" x14ac:dyDescent="0.25">
      <c r="A302" s="7" t="s">
        <v>655</v>
      </c>
      <c r="B302" s="7" t="s">
        <v>1187</v>
      </c>
      <c r="C302" s="6">
        <v>5786</v>
      </c>
      <c r="D302" s="6">
        <v>4828</v>
      </c>
      <c r="E302" s="6" t="str">
        <f>IFERROR(VLOOKUP($A302,tWA[],5,FALSE),"--")</f>
        <v>--</v>
      </c>
      <c r="F302" s="6" t="str">
        <f>IFERROR(VLOOKUP($A302,tWA[],6,FALSE),"--")</f>
        <v>--</v>
      </c>
      <c r="G302" s="18" t="s">
        <v>2006</v>
      </c>
      <c r="H302" s="18">
        <f t="shared" si="12"/>
        <v>2403.7579999999998</v>
      </c>
      <c r="I302" s="18" t="str">
        <f t="shared" si="13"/>
        <v>2403.758,  5904.082</v>
      </c>
      <c r="J302" s="6" t="s">
        <v>1218</v>
      </c>
      <c r="K302" s="6" t="s">
        <v>656</v>
      </c>
      <c r="L302" s="6" t="s">
        <v>102</v>
      </c>
      <c r="M302" s="11" t="s">
        <v>1226</v>
      </c>
      <c r="N302" s="7" t="str">
        <f t="shared" si="14"/>
        <v>{"name": "Redonso's Grain Mill", "map": "Haven", "fCoords": "5786, 4828", "waCoords": "--, --", "leaflet": "2403.758,  5904.082", "pinType": "Shopping", "mapRef": "Map Ref.: T07 (BF)", "type": "Mill", "description": ""},</v>
      </c>
    </row>
    <row r="303" spans="1:14" ht="30" x14ac:dyDescent="0.25">
      <c r="A303" s="7" t="s">
        <v>1171</v>
      </c>
      <c r="B303" s="7" t="s">
        <v>1187</v>
      </c>
      <c r="C303" s="6">
        <v>4760</v>
      </c>
      <c r="D303" s="6">
        <v>5975</v>
      </c>
      <c r="E303" s="6" t="str">
        <f>IFERROR(VLOOKUP($A303,tWA[],5,FALSE),"--")</f>
        <v>--</v>
      </c>
      <c r="F303" s="6" t="str">
        <f>IFERROR(VLOOKUP($A303,tWA[],6,FALSE),"--")</f>
        <v>--</v>
      </c>
      <c r="G303" s="18" t="s">
        <v>2007</v>
      </c>
      <c r="H303" s="18">
        <f t="shared" si="12"/>
        <v>1233.3499999999999</v>
      </c>
      <c r="I303" s="18" t="str">
        <f t="shared" si="13"/>
        <v>1233.35,  4857.143</v>
      </c>
      <c r="J303" s="6" t="s">
        <v>70</v>
      </c>
      <c r="K303" s="6" t="s">
        <v>657</v>
      </c>
      <c r="L303" s="6" t="s">
        <v>369</v>
      </c>
      <c r="M303" s="11" t="s">
        <v>1226</v>
      </c>
      <c r="N303" s="7" t="str">
        <f t="shared" si="14"/>
        <v>{"name": "Residence of Arquephus", "map": "Haven", "fCoords": "4760, 5975", "waCoords": "--, --", "leaflet": "1233.35,  4857.143", "pinType": "Residence", "mapRef": "Map Ref.: P03 (TH)", "type": "House", "description": ""},</v>
      </c>
    </row>
    <row r="304" spans="1:14" ht="30" x14ac:dyDescent="0.25">
      <c r="A304" s="7" t="s">
        <v>1172</v>
      </c>
      <c r="B304" s="7" t="s">
        <v>1187</v>
      </c>
      <c r="C304" s="6">
        <v>4824</v>
      </c>
      <c r="D304" s="6">
        <v>5983</v>
      </c>
      <c r="E304" s="6" t="str">
        <f>IFERROR(VLOOKUP($A304,tWA[],5,FALSE),"--")</f>
        <v>--</v>
      </c>
      <c r="F304" s="6" t="str">
        <f>IFERROR(VLOOKUP($A304,tWA[],6,FALSE),"--")</f>
        <v>--</v>
      </c>
      <c r="G304" s="18" t="s">
        <v>2008</v>
      </c>
      <c r="H304" s="18">
        <f t="shared" si="12"/>
        <v>1225.1869999999999</v>
      </c>
      <c r="I304" s="18" t="str">
        <f t="shared" si="13"/>
        <v>1225.187,  4922.449</v>
      </c>
      <c r="J304" s="6" t="s">
        <v>70</v>
      </c>
      <c r="K304" s="6" t="s">
        <v>658</v>
      </c>
      <c r="L304" s="6" t="s">
        <v>369</v>
      </c>
      <c r="M304" s="11" t="s">
        <v>1226</v>
      </c>
      <c r="N304" s="7" t="str">
        <f t="shared" si="14"/>
        <v>{"name": "Residence of Resoom", "map": "Haven", "fCoords": "4824, 5983", "waCoords": "--, --", "leaflet": "1225.187,  4922.449", "pinType": "Residence", "mapRef": "Map Ref.: P04 (TG)", "type": "House", "description": ""},</v>
      </c>
    </row>
    <row r="305" spans="1:14" ht="30" x14ac:dyDescent="0.25">
      <c r="A305" s="7" t="s">
        <v>1173</v>
      </c>
      <c r="B305" s="7" t="s">
        <v>1187</v>
      </c>
      <c r="C305" s="6">
        <v>1257</v>
      </c>
      <c r="D305" s="6">
        <v>3025</v>
      </c>
      <c r="E305" s="6" t="str">
        <f>IFERROR(VLOOKUP($A305,tWA[],5,FALSE),"--")</f>
        <v>--</v>
      </c>
      <c r="F305" s="6" t="str">
        <f>IFERROR(VLOOKUP($A305,tWA[],6,FALSE),"--")</f>
        <v>--</v>
      </c>
      <c r="G305" s="18" t="s">
        <v>2009</v>
      </c>
      <c r="H305" s="18">
        <f t="shared" si="12"/>
        <v>4243.5540000000001</v>
      </c>
      <c r="I305" s="18" t="str">
        <f t="shared" si="13"/>
        <v>4243.554,  1282.653</v>
      </c>
      <c r="J305" s="6" t="s">
        <v>70</v>
      </c>
      <c r="K305" s="6" t="s">
        <v>659</v>
      </c>
      <c r="L305" s="6" t="s">
        <v>132</v>
      </c>
      <c r="M305" s="11" t="s">
        <v>1226</v>
      </c>
      <c r="N305" s="7" t="str">
        <f t="shared" si="14"/>
        <v>{"name": "Residence of Rigaletto and Paladin Brandybuck", "map": "Haven", "fCoords": "1257, 3025", "waCoords": "--, --", "leaflet": "4243.554,  1282.653", "pinType": "Residence", "mapRef": "Map Ref.: D13 (IQ)", "type": "Large House", "description": ""},</v>
      </c>
    </row>
    <row r="306" spans="1:14" ht="30" x14ac:dyDescent="0.25">
      <c r="A306" s="7" t="s">
        <v>1174</v>
      </c>
      <c r="B306" s="7" t="s">
        <v>1187</v>
      </c>
      <c r="C306" s="6">
        <v>1120</v>
      </c>
      <c r="D306" s="6">
        <v>3072</v>
      </c>
      <c r="E306" s="6" t="str">
        <f>IFERROR(VLOOKUP($A306,tWA[],5,FALSE),"--")</f>
        <v>--</v>
      </c>
      <c r="F306" s="6" t="str">
        <f>IFERROR(VLOOKUP($A306,tWA[],6,FALSE),"--")</f>
        <v>--</v>
      </c>
      <c r="G306" s="18" t="s">
        <v>2010</v>
      </c>
      <c r="H306" s="18">
        <f t="shared" si="12"/>
        <v>4195.5950000000003</v>
      </c>
      <c r="I306" s="18" t="str">
        <f t="shared" si="13"/>
        <v>4195.595,  1142.857</v>
      </c>
      <c r="J306" s="6" t="s">
        <v>70</v>
      </c>
      <c r="K306" s="6" t="s">
        <v>660</v>
      </c>
      <c r="L306" s="6" t="s">
        <v>369</v>
      </c>
      <c r="M306" s="11" t="s">
        <v>1226</v>
      </c>
      <c r="N306" s="7" t="str">
        <f t="shared" si="14"/>
        <v>{"name": "Residence of Rombo Alecastle", "map": "Haven", "fCoords": "1120, 3072", "waCoords": "--, --", "leaflet": "4195.595,  1142.857", "pinType": "Residence", "mapRef": "Map Ref.: C13 (IY)", "type": "House", "description": ""},</v>
      </c>
    </row>
    <row r="307" spans="1:14" ht="30" x14ac:dyDescent="0.25">
      <c r="A307" s="7" t="s">
        <v>1175</v>
      </c>
      <c r="B307" s="7" t="s">
        <v>1187</v>
      </c>
      <c r="C307" s="6">
        <v>3841</v>
      </c>
      <c r="D307" s="6">
        <v>4953</v>
      </c>
      <c r="E307" s="6" t="str">
        <f>IFERROR(VLOOKUP($A307,tWA[],5,FALSE),"--")</f>
        <v>--</v>
      </c>
      <c r="F307" s="6" t="str">
        <f>IFERROR(VLOOKUP($A307,tWA[],6,FALSE),"--")</f>
        <v>--</v>
      </c>
      <c r="G307" s="18" t="s">
        <v>2011</v>
      </c>
      <c r="H307" s="18">
        <f t="shared" si="12"/>
        <v>2276.2069999999999</v>
      </c>
      <c r="I307" s="18" t="str">
        <f t="shared" si="13"/>
        <v>2276.207,  3919.388</v>
      </c>
      <c r="J307" s="6" t="s">
        <v>1199</v>
      </c>
      <c r="K307" s="6" t="s">
        <v>661</v>
      </c>
      <c r="L307" s="6" t="s">
        <v>19</v>
      </c>
      <c r="M307" s="11" t="s">
        <v>1226</v>
      </c>
      <c r="N307" s="7" t="str">
        <f t="shared" si="14"/>
        <v>{"name": "Rima's", "map": "Haven", "fCoords": "3841, 4953", "waCoords": "--, --", "leaflet": "2276.207,  3919.388", "pinType": "Entertainment", "mapRef": "Map Ref.: M07 (DM)", "type": "Brothel", "description": ""},</v>
      </c>
    </row>
    <row r="308" spans="1:14" ht="30" x14ac:dyDescent="0.25">
      <c r="A308" s="7" t="s">
        <v>662</v>
      </c>
      <c r="B308" s="7" t="s">
        <v>1187</v>
      </c>
      <c r="C308" s="6">
        <v>3802</v>
      </c>
      <c r="D308" s="6">
        <v>6112</v>
      </c>
      <c r="E308" s="6" t="str">
        <f>IFERROR(VLOOKUP($A308,tWA[],5,FALSE),"--")</f>
        <v>--</v>
      </c>
      <c r="F308" s="6" t="str">
        <f>IFERROR(VLOOKUP($A308,tWA[],6,FALSE),"--")</f>
        <v>--</v>
      </c>
      <c r="G308" s="18" t="s">
        <v>2012</v>
      </c>
      <c r="H308" s="18">
        <f t="shared" si="12"/>
        <v>1093.5539999999999</v>
      </c>
      <c r="I308" s="18" t="str">
        <f t="shared" si="13"/>
        <v>1093.554,  3879.592</v>
      </c>
      <c r="J308" s="6" t="s">
        <v>1218</v>
      </c>
      <c r="K308" s="6" t="s">
        <v>664</v>
      </c>
      <c r="L308" s="6" t="s">
        <v>663</v>
      </c>
      <c r="M308" s="11" t="s">
        <v>1226</v>
      </c>
      <c r="N308" s="7" t="str">
        <f t="shared" si="14"/>
        <v>{"name": "Roah the Tailor", "map": "Haven", "fCoords": "3802, 6112", "waCoords": "--, --", "leaflet": "1093.554,  3879.592", "pinType": "Shopping", "mapRef": "Map Ref.: M03 (FC)", "type": "Tailor", "description": ""},</v>
      </c>
    </row>
    <row r="309" spans="1:14" ht="30" x14ac:dyDescent="0.25">
      <c r="A309" s="7" t="s">
        <v>665</v>
      </c>
      <c r="B309" s="7" t="s">
        <v>1187</v>
      </c>
      <c r="C309" s="6">
        <v>4309</v>
      </c>
      <c r="D309" s="6">
        <v>5828</v>
      </c>
      <c r="E309" s="6" t="str">
        <f>IFERROR(VLOOKUP($A309,tWA[],5,FALSE),"--")</f>
        <v>--</v>
      </c>
      <c r="F309" s="6" t="str">
        <f>IFERROR(VLOOKUP($A309,tWA[],6,FALSE),"--")</f>
        <v>--</v>
      </c>
      <c r="G309" s="18" t="s">
        <v>2013</v>
      </c>
      <c r="H309" s="18">
        <f t="shared" si="12"/>
        <v>1383.35</v>
      </c>
      <c r="I309" s="18" t="str">
        <f t="shared" si="13"/>
        <v>1383.35,  4396.939</v>
      </c>
      <c r="J309" s="6" t="s">
        <v>1199</v>
      </c>
      <c r="K309" s="6" t="s">
        <v>666</v>
      </c>
      <c r="L309" s="6" t="s">
        <v>630</v>
      </c>
      <c r="M309" s="11" t="s">
        <v>1226</v>
      </c>
      <c r="N309" s="7" t="str">
        <f t="shared" si="14"/>
        <v>{"name": "Rocky's Tavern and Arena", "map": "Haven", "fCoords": "4309, 5828", "waCoords": "--, --", "leaflet": "1383.35,  4396.939", "pinType": "Entertainment", "mapRef": "Map Ref.: N04 (FT)", "type": "Gaming", "description": ""},</v>
      </c>
    </row>
    <row r="310" spans="1:14" ht="30" x14ac:dyDescent="0.25">
      <c r="A310" s="7" t="s">
        <v>667</v>
      </c>
      <c r="B310" s="7" t="s">
        <v>1187</v>
      </c>
      <c r="C310" s="6">
        <v>2192</v>
      </c>
      <c r="D310" s="6">
        <v>792</v>
      </c>
      <c r="E310" s="6" t="str">
        <f>IFERROR(VLOOKUP($A310,tWA[],5,FALSE),"--")</f>
        <v>2182</v>
      </c>
      <c r="F310" s="6" t="str">
        <f>IFERROR(VLOOKUP($A310,tWA[],6,FALSE),"--")</f>
        <v>6399</v>
      </c>
      <c r="G310" s="18" t="s">
        <v>2014</v>
      </c>
      <c r="H310" s="18">
        <f t="shared" si="12"/>
        <v>6522.1260000000002</v>
      </c>
      <c r="I310" s="18" t="str">
        <f t="shared" si="13"/>
        <v>6522.126,  2236.735</v>
      </c>
      <c r="J310" s="6" t="s">
        <v>1204</v>
      </c>
      <c r="K310" s="6" t="s">
        <v>668</v>
      </c>
      <c r="L310" s="6" t="s">
        <v>68</v>
      </c>
      <c r="M310" s="11" t="s">
        <v>1364</v>
      </c>
      <c r="N310" s="7" t="str">
        <f t="shared" si="14"/>
        <v>{"name": "Rose Garden Inn", "map": "Haven", "fCoords": "2192, 792", "waCoords": "2182, 6399", "leaflet": "6522.126,  2236.735", "pinType": "Inns &amp; Taverns", "mapRef": "Map Ref.: G21 (DF)", "type": "Tavern", "description": "One of the best inns in Haven"},</v>
      </c>
    </row>
    <row r="311" spans="1:14" ht="45" x14ac:dyDescent="0.25">
      <c r="A311" s="7" t="s">
        <v>669</v>
      </c>
      <c r="B311" s="7" t="s">
        <v>1187</v>
      </c>
      <c r="C311" s="6">
        <v>3679</v>
      </c>
      <c r="D311" s="6">
        <v>6178</v>
      </c>
      <c r="E311" s="6" t="str">
        <f>IFERROR(VLOOKUP($A311,tWA[],5,FALSE),"--")</f>
        <v>3680</v>
      </c>
      <c r="F311" s="6" t="str">
        <f>IFERROR(VLOOKUP($A311,tWA[],6,FALSE),"--")</f>
        <v>1002</v>
      </c>
      <c r="G311" s="18" t="s">
        <v>2015</v>
      </c>
      <c r="H311" s="18">
        <f t="shared" si="12"/>
        <v>1026.2069999999999</v>
      </c>
      <c r="I311" s="18" t="str">
        <f t="shared" si="13"/>
        <v>1026.207,  3754.082</v>
      </c>
      <c r="J311" s="6" t="s">
        <v>1678</v>
      </c>
      <c r="K311" s="6" t="s">
        <v>670</v>
      </c>
      <c r="L311" s="6" t="s">
        <v>157</v>
      </c>
      <c r="M311" s="11" t="s">
        <v>1372</v>
      </c>
      <c r="N311" s="7" t="str">
        <f t="shared" si="14"/>
        <v>{"name": "Ruin of Rogues' Roost", "map": "Haven", "fCoords": "3679, 6178", "waCoords": "3680, 1002", "leaflet": "1026.207,  3754.082", "pinType": "Landmark", "mapRef": "Map Ref.: L03 (ET)", "type": "Ruin", "description": "The burned out remains of the headquarters of the Thieves' Guild"},</v>
      </c>
    </row>
    <row r="312" spans="1:14" ht="30" x14ac:dyDescent="0.25">
      <c r="A312" s="7" t="s">
        <v>671</v>
      </c>
      <c r="B312" s="7" t="s">
        <v>1187</v>
      </c>
      <c r="C312" s="6">
        <v>876</v>
      </c>
      <c r="D312" s="6">
        <v>3092</v>
      </c>
      <c r="E312" s="6" t="str">
        <f>IFERROR(VLOOKUP($A312,tWA[],5,FALSE),"--")</f>
        <v>--</v>
      </c>
      <c r="F312" s="6" t="str">
        <f>IFERROR(VLOOKUP($A312,tWA[],6,FALSE),"--")</f>
        <v>--</v>
      </c>
      <c r="G312" s="18" t="s">
        <v>2016</v>
      </c>
      <c r="H312" s="18">
        <f t="shared" si="12"/>
        <v>4175.1870000000008</v>
      </c>
      <c r="I312" s="18" t="str">
        <f t="shared" si="13"/>
        <v>4175.187,  893.878</v>
      </c>
      <c r="J312" s="6" t="s">
        <v>1677</v>
      </c>
      <c r="K312" s="6" t="s">
        <v>672</v>
      </c>
      <c r="L312" s="6" t="s">
        <v>201</v>
      </c>
      <c r="M312" s="11" t="s">
        <v>1226</v>
      </c>
      <c r="N312" s="7" t="str">
        <f t="shared" si="14"/>
        <v>{"name": "Sakbar - Excavation Contractor", "map": "Haven", "fCoords": "876, 3092", "waCoords": "--, --", "leaflet": "4175.187,  893.878", "pinType": "Service", "mapRef": "Map Ref.: C13 (HZ)", "type": "Construction", "description": ""},</v>
      </c>
    </row>
    <row r="313" spans="1:14" ht="30" x14ac:dyDescent="0.25">
      <c r="A313" s="7" t="s">
        <v>673</v>
      </c>
      <c r="B313" s="7" t="s">
        <v>1187</v>
      </c>
      <c r="C313" s="6">
        <v>4759</v>
      </c>
      <c r="D313" s="6">
        <v>3877</v>
      </c>
      <c r="E313" s="6" t="str">
        <f>IFERROR(VLOOKUP($A313,tWA[],5,FALSE),"--")</f>
        <v>--</v>
      </c>
      <c r="F313" s="6" t="str">
        <f>IFERROR(VLOOKUP($A313,tWA[],6,FALSE),"--")</f>
        <v>--</v>
      </c>
      <c r="G313" s="18" t="s">
        <v>2017</v>
      </c>
      <c r="H313" s="18">
        <f t="shared" si="12"/>
        <v>3374.1659999999997</v>
      </c>
      <c r="I313" s="18" t="str">
        <f t="shared" si="13"/>
        <v>3374.166,  4856.122</v>
      </c>
      <c r="J313" s="6" t="s">
        <v>1197</v>
      </c>
      <c r="K313" s="6" t="s">
        <v>674</v>
      </c>
      <c r="L313" s="6" t="s">
        <v>442</v>
      </c>
      <c r="M313" s="11" t="s">
        <v>1226</v>
      </c>
      <c r="N313" s="7" t="str">
        <f t="shared" si="14"/>
        <v>{"name": "Samoradat's Soup", "map": "Haven", "fCoords": "4759, 3877", "waCoords": "--, --", "leaflet": "3374.166,  4856.122", "pinType": "Dining", "mapRef": "Map Ref.: P11 (RK)", "type": "Restaurant", "description": ""},</v>
      </c>
    </row>
    <row r="314" spans="1:14" ht="30" x14ac:dyDescent="0.25">
      <c r="A314" s="7" t="s">
        <v>1176</v>
      </c>
      <c r="B314" s="7" t="s">
        <v>1187</v>
      </c>
      <c r="C314" s="6">
        <v>2500</v>
      </c>
      <c r="D314" s="6">
        <v>796</v>
      </c>
      <c r="E314" s="6" t="str">
        <f>IFERROR(VLOOKUP($A314,tWA[],5,FALSE),"--")</f>
        <v>--</v>
      </c>
      <c r="F314" s="6" t="str">
        <f>IFERROR(VLOOKUP($A314,tWA[],6,FALSE),"--")</f>
        <v>--</v>
      </c>
      <c r="G314" s="18" t="s">
        <v>2018</v>
      </c>
      <c r="H314" s="18">
        <f t="shared" si="12"/>
        <v>6518.0440000000008</v>
      </c>
      <c r="I314" s="18" t="str">
        <f t="shared" si="13"/>
        <v>6518.044,  2551.02</v>
      </c>
      <c r="J314" s="6" t="s">
        <v>70</v>
      </c>
      <c r="K314" s="6" t="s">
        <v>675</v>
      </c>
      <c r="L314" s="6" t="s">
        <v>71</v>
      </c>
      <c r="M314" s="11" t="s">
        <v>1226</v>
      </c>
      <c r="N314" s="7" t="str">
        <f t="shared" si="14"/>
        <v>{"name": "Savonna Family Residence", "map": "Haven", "fCoords": "2500, 796", "waCoords": "--, --", "leaflet": "6518.044,  2551.02", "pinType": "Residence", "mapRef": "Map Ref.: H21 (CX)", "type": "Mansion", "description": ""},</v>
      </c>
    </row>
    <row r="315" spans="1:14" ht="30" x14ac:dyDescent="0.25">
      <c r="A315" s="7" t="s">
        <v>676</v>
      </c>
      <c r="B315" s="7" t="s">
        <v>1187</v>
      </c>
      <c r="C315" s="6">
        <v>2090</v>
      </c>
      <c r="D315" s="6">
        <v>4806</v>
      </c>
      <c r="E315" s="6" t="str">
        <f>IFERROR(VLOOKUP($A315,tWA[],5,FALSE),"--")</f>
        <v>--</v>
      </c>
      <c r="F315" s="6" t="str">
        <f>IFERROR(VLOOKUP($A315,tWA[],6,FALSE),"--")</f>
        <v>--</v>
      </c>
      <c r="G315" s="18" t="s">
        <v>2019</v>
      </c>
      <c r="H315" s="18">
        <f t="shared" si="12"/>
        <v>2426.2069999999999</v>
      </c>
      <c r="I315" s="18" t="str">
        <f t="shared" si="13"/>
        <v>2426.207,  2132.653</v>
      </c>
      <c r="J315" s="6" t="s">
        <v>1204</v>
      </c>
      <c r="K315" s="6" t="s">
        <v>677</v>
      </c>
      <c r="L315" s="6" t="s">
        <v>68</v>
      </c>
      <c r="M315" s="11" t="s">
        <v>1226</v>
      </c>
      <c r="N315" s="7" t="str">
        <f t="shared" si="14"/>
        <v>{"name": "Scholl's Tavern", "map": "Haven", "fCoords": "2090, 4806", "waCoords": "--, --", "leaflet": "2426.207,  2132.653", "pinType": "Inns &amp; Taverns", "mapRef": "Map Ref.: G07 (MS)", "type": "Tavern", "description": ""},</v>
      </c>
    </row>
    <row r="316" spans="1:14" ht="30" x14ac:dyDescent="0.25">
      <c r="A316" s="7" t="s">
        <v>678</v>
      </c>
      <c r="B316" s="7" t="s">
        <v>1187</v>
      </c>
      <c r="C316" s="6">
        <v>1855</v>
      </c>
      <c r="D316" s="6">
        <v>3877</v>
      </c>
      <c r="E316" s="6" t="str">
        <f>IFERROR(VLOOKUP($A316,tWA[],5,FALSE),"--")</f>
        <v>1849</v>
      </c>
      <c r="F316" s="6" t="str">
        <f>IFERROR(VLOOKUP($A316,tWA[],6,FALSE),"--")</f>
        <v>3300</v>
      </c>
      <c r="G316" s="18" t="s">
        <v>2020</v>
      </c>
      <c r="H316" s="18">
        <f t="shared" si="12"/>
        <v>3374.1659999999997</v>
      </c>
      <c r="I316" s="18" t="str">
        <f t="shared" si="13"/>
        <v>3374.166,  1892.857</v>
      </c>
      <c r="J316" s="6" t="s">
        <v>1198</v>
      </c>
      <c r="K316" s="6" t="s">
        <v>679</v>
      </c>
      <c r="L316" s="6" t="s">
        <v>143</v>
      </c>
      <c r="M316" s="11" t="s">
        <v>1345</v>
      </c>
      <c r="N316" s="7" t="str">
        <f t="shared" si="14"/>
        <v>{"name": "School of Alchemy", "map": "Haven", "fCoords": "1855, 3877", "waCoords": "1849, 3300", "leaflet": "3374.166,  1892.857", "pinType": "Education", "mapRef": "Map Ref.: F11 (LP)", "type": "University", "description": "Part of the University of Haven"},</v>
      </c>
    </row>
    <row r="317" spans="1:14" ht="30" x14ac:dyDescent="0.25">
      <c r="A317" s="7" t="s">
        <v>680</v>
      </c>
      <c r="B317" s="7" t="s">
        <v>1187</v>
      </c>
      <c r="C317" s="6">
        <v>1938</v>
      </c>
      <c r="D317" s="6">
        <v>4020</v>
      </c>
      <c r="E317" s="6" t="str">
        <f>IFERROR(VLOOKUP($A317,tWA[],5,FALSE),"--")</f>
        <v>1929</v>
      </c>
      <c r="F317" s="6" t="str">
        <f>IFERROR(VLOOKUP($A317,tWA[],6,FALSE),"--")</f>
        <v>3163</v>
      </c>
      <c r="G317" s="18" t="s">
        <v>2021</v>
      </c>
      <c r="H317" s="18">
        <f t="shared" si="12"/>
        <v>3228.248</v>
      </c>
      <c r="I317" s="18" t="str">
        <f t="shared" si="13"/>
        <v>3228.248,  1977.551</v>
      </c>
      <c r="J317" s="6" t="s">
        <v>1198</v>
      </c>
      <c r="K317" s="6" t="s">
        <v>681</v>
      </c>
      <c r="L317" s="6" t="s">
        <v>143</v>
      </c>
      <c r="M317" s="11" t="s">
        <v>1345</v>
      </c>
      <c r="N317" s="7" t="str">
        <f t="shared" si="14"/>
        <v>{"name": "School of Medicine", "map": "Haven", "fCoords": "1938, 4020", "waCoords": "1929, 3163", "leaflet": "3228.248,  1977.551", "pinType": "Education", "mapRef": "Map Ref.: F10 (SI)", "type": "University", "description": "Part of the University of Haven"},</v>
      </c>
    </row>
    <row r="318" spans="1:14" ht="30" x14ac:dyDescent="0.25">
      <c r="A318" s="7" t="s">
        <v>682</v>
      </c>
      <c r="B318" s="7" t="s">
        <v>1187</v>
      </c>
      <c r="C318" s="6">
        <v>2292</v>
      </c>
      <c r="D318" s="6">
        <v>1004</v>
      </c>
      <c r="E318" s="6" t="str">
        <f>IFERROR(VLOOKUP($A318,tWA[],5,FALSE),"--")</f>
        <v>--</v>
      </c>
      <c r="F318" s="6" t="str">
        <f>IFERROR(VLOOKUP($A318,tWA[],6,FALSE),"--")</f>
        <v>--</v>
      </c>
      <c r="G318" s="18" t="s">
        <v>2022</v>
      </c>
      <c r="H318" s="18">
        <f t="shared" si="12"/>
        <v>6305.799</v>
      </c>
      <c r="I318" s="18" t="str">
        <f t="shared" si="13"/>
        <v>6305.799,  2338.776</v>
      </c>
      <c r="J318" s="6" t="s">
        <v>1677</v>
      </c>
      <c r="K318" s="6" t="s">
        <v>683</v>
      </c>
      <c r="L318" s="6" t="s">
        <v>81</v>
      </c>
      <c r="M318" s="11" t="s">
        <v>1226</v>
      </c>
      <c r="N318" s="7" t="str">
        <f t="shared" si="14"/>
        <v>{"name": "Scribe and Messenger Service", "map": "Haven", "fCoords": "2292, 1004", "waCoords": "--, --", "leaflet": "6305.799,  2338.776", "pinType": "Service", "mapRef": "Map Ref.: G20 (CE)", "type": "Courier", "description": ""},</v>
      </c>
    </row>
    <row r="319" spans="1:14" ht="30" x14ac:dyDescent="0.25">
      <c r="A319" s="7" t="s">
        <v>684</v>
      </c>
      <c r="B319" s="7" t="s">
        <v>1187</v>
      </c>
      <c r="C319" s="6">
        <v>4571</v>
      </c>
      <c r="D319" s="6">
        <v>6150</v>
      </c>
      <c r="E319" s="6" t="str">
        <f>IFERROR(VLOOKUP($A319,tWA[],5,FALSE),"--")</f>
        <v>--</v>
      </c>
      <c r="F319" s="6" t="str">
        <f>IFERROR(VLOOKUP($A319,tWA[],6,FALSE),"--")</f>
        <v>--</v>
      </c>
      <c r="G319" s="18" t="s">
        <v>2023</v>
      </c>
      <c r="H319" s="18">
        <f t="shared" si="12"/>
        <v>1054.779</v>
      </c>
      <c r="I319" s="18" t="str">
        <f t="shared" si="13"/>
        <v>1054.779,  4664.286</v>
      </c>
      <c r="J319" s="6" t="s">
        <v>1218</v>
      </c>
      <c r="K319" s="6" t="s">
        <v>686</v>
      </c>
      <c r="L319" s="6" t="s">
        <v>685</v>
      </c>
      <c r="M319" s="11" t="s">
        <v>1226</v>
      </c>
      <c r="N319" s="7" t="str">
        <f t="shared" si="14"/>
        <v>{"name": "Sew Simple", "map": "Haven", "fCoords": "4571, 6150", "waCoords": "--, --", "leaflet": "1054.779,  4664.286", "pinType": "Shopping", "mapRef": "Map Ref.: O03 (FY)", "type": "Seamstress", "description": ""},</v>
      </c>
    </row>
    <row r="320" spans="1:14" ht="30" x14ac:dyDescent="0.25">
      <c r="A320" s="7" t="s">
        <v>687</v>
      </c>
      <c r="B320" s="7" t="s">
        <v>1187</v>
      </c>
      <c r="C320" s="6">
        <v>4831</v>
      </c>
      <c r="D320" s="6">
        <v>5952</v>
      </c>
      <c r="E320" s="6" t="str">
        <f>IFERROR(VLOOKUP($A320,tWA[],5,FALSE),"--")</f>
        <v>--</v>
      </c>
      <c r="F320" s="6" t="str">
        <f>IFERROR(VLOOKUP($A320,tWA[],6,FALSE),"--")</f>
        <v>--</v>
      </c>
      <c r="G320" s="18" t="s">
        <v>2024</v>
      </c>
      <c r="H320" s="18">
        <f t="shared" si="12"/>
        <v>1256.819</v>
      </c>
      <c r="I320" s="18" t="str">
        <f t="shared" si="13"/>
        <v>1256.819,  4929.592</v>
      </c>
      <c r="J320" s="6" t="s">
        <v>1679</v>
      </c>
      <c r="K320" s="6" t="s">
        <v>688</v>
      </c>
      <c r="L320" s="6" t="s">
        <v>172</v>
      </c>
      <c r="M320" s="11" t="s">
        <v>1226</v>
      </c>
      <c r="N320" s="7" t="str">
        <f t="shared" si="14"/>
        <v>{"name": "Shadowfall Crotofiran Mission", "map": "Haven", "fCoords": "4831, 5952", "waCoords": "--, --", "leaflet": "1256.819,  4929.592", "pinType": "Religion", "mapRef": "Map Ref.: P04 (FW)", "type": "Mission", "description": ""},</v>
      </c>
    </row>
    <row r="321" spans="1:14" ht="30" x14ac:dyDescent="0.25">
      <c r="A321" s="7" t="s">
        <v>689</v>
      </c>
      <c r="B321" s="7" t="s">
        <v>1187</v>
      </c>
      <c r="C321" s="6">
        <v>2231</v>
      </c>
      <c r="D321" s="6">
        <v>874</v>
      </c>
      <c r="E321" s="6" t="str">
        <f>IFERROR(VLOOKUP($A321,tWA[],5,FALSE),"--")</f>
        <v>2228</v>
      </c>
      <c r="F321" s="6" t="str">
        <f>IFERROR(VLOOKUP($A321,tWA[],6,FALSE),"--")</f>
        <v>6303</v>
      </c>
      <c r="G321" s="18" t="s">
        <v>2025</v>
      </c>
      <c r="H321" s="18">
        <f t="shared" si="12"/>
        <v>6438.4520000000002</v>
      </c>
      <c r="I321" s="18" t="str">
        <f t="shared" si="13"/>
        <v>6438.452,  2276.531</v>
      </c>
      <c r="J321" s="6" t="s">
        <v>9</v>
      </c>
      <c r="K321" s="6" t="s">
        <v>690</v>
      </c>
      <c r="L321" s="6" t="s">
        <v>9</v>
      </c>
      <c r="M321" s="11" t="s">
        <v>1340</v>
      </c>
      <c r="N321" s="7" t="str">
        <f t="shared" si="14"/>
        <v>{"name": "Shield Barracks", "map": "Haven", "fCoords": "2231, 874", "waCoords": "2228, 6303", "leaflet": "6438.452,  2276.531", "pinType": "City Guard", "mapRef": "Map Ref.: G21 (RY)", "type": "City Guard", "description": "A City Watch station."},</v>
      </c>
    </row>
    <row r="322" spans="1:14" ht="30" x14ac:dyDescent="0.25">
      <c r="A322" s="7" t="s">
        <v>691</v>
      </c>
      <c r="B322" s="7" t="s">
        <v>1187</v>
      </c>
      <c r="C322" s="6">
        <v>6082</v>
      </c>
      <c r="D322" s="6">
        <v>5469</v>
      </c>
      <c r="E322" s="6" t="str">
        <f>IFERROR(VLOOKUP($A322,tWA[],5,FALSE),"--")</f>
        <v>--</v>
      </c>
      <c r="F322" s="6" t="str">
        <f>IFERROR(VLOOKUP($A322,tWA[],6,FALSE),"--")</f>
        <v>--</v>
      </c>
      <c r="G322" s="18" t="s">
        <v>2026</v>
      </c>
      <c r="H322" s="18">
        <f t="shared" si="12"/>
        <v>1749.6769999999999</v>
      </c>
      <c r="I322" s="18" t="str">
        <f t="shared" si="13"/>
        <v>1749.677,  6206.122</v>
      </c>
      <c r="J322" s="6" t="s">
        <v>1218</v>
      </c>
      <c r="K322" s="6" t="s">
        <v>692</v>
      </c>
      <c r="L322" s="6" t="s">
        <v>65</v>
      </c>
      <c r="M322" s="11" t="s">
        <v>1226</v>
      </c>
      <c r="N322" s="7" t="str">
        <f t="shared" si="14"/>
        <v>{"name": "Ship's Chandler - Martin Boggle", "map": "Haven", "fCoords": "6082, 5469", "waCoords": "--, --", "leaflet": "1749.677,  6206.122", "pinType": "Shopping", "mapRef": "Map Ref.: U05 (AS)", "type": "Nautical Supplies", "description": ""},</v>
      </c>
    </row>
    <row r="323" spans="1:14" ht="30" x14ac:dyDescent="0.25">
      <c r="A323" s="7" t="s">
        <v>693</v>
      </c>
      <c r="B323" s="7" t="s">
        <v>1187</v>
      </c>
      <c r="C323" s="6">
        <v>2166</v>
      </c>
      <c r="D323" s="6">
        <v>938</v>
      </c>
      <c r="E323" s="6" t="str">
        <f>IFERROR(VLOOKUP($A323,tWA[],5,FALSE),"--")</f>
        <v>--</v>
      </c>
      <c r="F323" s="6" t="str">
        <f>IFERROR(VLOOKUP($A323,tWA[],6,FALSE),"--")</f>
        <v>--</v>
      </c>
      <c r="G323" s="18" t="s">
        <v>2027</v>
      </c>
      <c r="H323" s="18">
        <f t="shared" si="12"/>
        <v>6373.1460000000006</v>
      </c>
      <c r="I323" s="18" t="str">
        <f t="shared" si="13"/>
        <v>6373.146,  2210.204</v>
      </c>
      <c r="J323" s="6" t="s">
        <v>1218</v>
      </c>
      <c r="K323" s="6" t="s">
        <v>695</v>
      </c>
      <c r="L323" s="6" t="s">
        <v>694</v>
      </c>
      <c r="M323" s="11" t="s">
        <v>1226</v>
      </c>
      <c r="N323" s="7" t="str">
        <f t="shared" si="14"/>
        <v>{"name": "Shoes &amp; Saddles", "map": "Haven", "fCoords": "2166, 938", "waCoords": "--, --", "leaflet": "6373.146,  2210.204", "pinType": "Shopping", "mapRef": "Map Ref.: G20 (CS)", "type": "Blacksmith", "description": ""},</v>
      </c>
    </row>
    <row r="324" spans="1:14" ht="30" x14ac:dyDescent="0.25">
      <c r="A324" s="7" t="s">
        <v>696</v>
      </c>
      <c r="B324" s="7" t="s">
        <v>1187</v>
      </c>
      <c r="C324" s="6">
        <v>2516</v>
      </c>
      <c r="D324" s="6">
        <v>4989</v>
      </c>
      <c r="E324" s="6" t="str">
        <f>IFERROR(VLOOKUP($A324,tWA[],5,FALSE),"--")</f>
        <v>--</v>
      </c>
      <c r="F324" s="6" t="str">
        <f>IFERROR(VLOOKUP($A324,tWA[],6,FALSE),"--")</f>
        <v>--</v>
      </c>
      <c r="G324" s="18" t="s">
        <v>2028</v>
      </c>
      <c r="H324" s="18">
        <f t="shared" ref="H324:H387" si="15">VALUE(_xlfn.TEXTBEFORE(G324,","))- 16.65</f>
        <v>2239.4719999999998</v>
      </c>
      <c r="I324" s="18" t="str">
        <f t="shared" ref="I324:I387" si="16">TEXT(H324, "####.###") &amp; ", " &amp; _xlfn.TEXTAFTER(G324,",")</f>
        <v>2239.472,  2567.347</v>
      </c>
      <c r="J324" s="6" t="s">
        <v>1204</v>
      </c>
      <c r="K324" s="6" t="s">
        <v>697</v>
      </c>
      <c r="L324" s="6" t="s">
        <v>68</v>
      </c>
      <c r="M324" s="11" t="s">
        <v>1226</v>
      </c>
      <c r="N324" s="7" t="str">
        <f t="shared" ref="N324:N387" si="17">"{""name"": """&amp;A324&amp;""", " &amp;
"""map"": """&amp;B324&amp;""", " &amp;
"""fCoords"": """&amp;C324&amp;", "&amp;D324&amp;""", " &amp;
"""waCoords"": """&amp;E324&amp;", "&amp;F324&amp;""", " &amp;
"""leaflet"": """ &amp; I324 &amp; """, " &amp;
"""pinType"": """ &amp; J324 &amp; """, " &amp;
"""mapRef"": """ &amp; K324 &amp; """, " &amp;
"""type"": """ &amp; L324 &amp; """, " &amp;
"""description"": """ &amp; M324 &amp; """},"</f>
        <v>{"name": "Sign of the Jester", "map": "Haven", "fCoords": "2516, 4989", "waCoords": "--, --", "leaflet": "2239.472,  2567.347", "pinType": "Inns &amp; Taverns", "mapRef": "Map Ref.: H07 (MP)", "type": "Tavern", "description": ""},</v>
      </c>
    </row>
    <row r="325" spans="1:14" ht="30" x14ac:dyDescent="0.25">
      <c r="A325" s="7" t="s">
        <v>698</v>
      </c>
      <c r="B325" s="7" t="s">
        <v>1187</v>
      </c>
      <c r="C325" s="6">
        <v>3902</v>
      </c>
      <c r="D325" s="6">
        <v>923</v>
      </c>
      <c r="E325" s="6" t="str">
        <f>IFERROR(VLOOKUP($A325,tWA[],5,FALSE),"--")</f>
        <v>--</v>
      </c>
      <c r="F325" s="6" t="str">
        <f>IFERROR(VLOOKUP($A325,tWA[],6,FALSE),"--")</f>
        <v>--</v>
      </c>
      <c r="G325" s="18" t="s">
        <v>2029</v>
      </c>
      <c r="H325" s="18">
        <f t="shared" si="15"/>
        <v>6388.4520000000002</v>
      </c>
      <c r="I325" s="18" t="str">
        <f t="shared" si="16"/>
        <v>6388.452,  3981.633</v>
      </c>
      <c r="J325" s="6" t="s">
        <v>1197</v>
      </c>
      <c r="K325" s="6" t="s">
        <v>699</v>
      </c>
      <c r="L325" s="6" t="s">
        <v>442</v>
      </c>
      <c r="M325" s="11" t="s">
        <v>1226</v>
      </c>
      <c r="N325" s="7" t="str">
        <f t="shared" si="17"/>
        <v>{"name": "Silvante's", "map": "Haven", "fCoords": "3902, 923", "waCoords": "--, --", "leaflet": "6388.452,  3981.633", "pinType": "Dining", "mapRef": "Map Ref.: M20 (SW)", "type": "Restaurant", "description": ""},</v>
      </c>
    </row>
    <row r="326" spans="1:14" ht="30" x14ac:dyDescent="0.25">
      <c r="A326" s="7" t="s">
        <v>700</v>
      </c>
      <c r="B326" s="7" t="s">
        <v>1187</v>
      </c>
      <c r="C326" s="6">
        <v>4497</v>
      </c>
      <c r="D326" s="6">
        <v>3994</v>
      </c>
      <c r="E326" s="6" t="str">
        <f>IFERROR(VLOOKUP($A326,tWA[],5,FALSE),"--")</f>
        <v>--</v>
      </c>
      <c r="F326" s="6" t="str">
        <f>IFERROR(VLOOKUP($A326,tWA[],6,FALSE),"--")</f>
        <v>--</v>
      </c>
      <c r="G326" s="18" t="s">
        <v>2030</v>
      </c>
      <c r="H326" s="18">
        <f t="shared" si="15"/>
        <v>3254.779</v>
      </c>
      <c r="I326" s="18" t="str">
        <f t="shared" si="16"/>
        <v>3254.779,  4588.776</v>
      </c>
      <c r="J326" s="6" t="s">
        <v>1218</v>
      </c>
      <c r="K326" s="6" t="s">
        <v>701</v>
      </c>
      <c r="L326" s="6" t="s">
        <v>33</v>
      </c>
      <c r="M326" s="11" t="s">
        <v>1226</v>
      </c>
      <c r="N326" s="7" t="str">
        <f t="shared" si="17"/>
        <v>{"name": "Sirius the Scribe", "map": "Haven", "fCoords": "4497, 3994", "waCoords": "--, --", "leaflet": "3254.779,  4588.776", "pinType": "Shopping", "mapRef": "Map Ref.: O10 (RN)", "type": "Scribe", "description": ""},</v>
      </c>
    </row>
    <row r="327" spans="1:14" ht="30" x14ac:dyDescent="0.25">
      <c r="A327" s="7" t="s">
        <v>702</v>
      </c>
      <c r="B327" s="7" t="s">
        <v>1187</v>
      </c>
      <c r="C327" s="6">
        <v>1393</v>
      </c>
      <c r="D327" s="6">
        <v>3768</v>
      </c>
      <c r="E327" s="6" t="str">
        <f>IFERROR(VLOOKUP($A327,tWA[],5,FALSE),"--")</f>
        <v>--</v>
      </c>
      <c r="F327" s="6" t="str">
        <f>IFERROR(VLOOKUP($A327,tWA[],6,FALSE),"--")</f>
        <v>--</v>
      </c>
      <c r="G327" s="18" t="s">
        <v>2031</v>
      </c>
      <c r="H327" s="18">
        <f t="shared" si="15"/>
        <v>3485.3910000000001</v>
      </c>
      <c r="I327" s="18" t="str">
        <f t="shared" si="16"/>
        <v>3485.391,  1421.429</v>
      </c>
      <c r="J327" s="6" t="s">
        <v>1218</v>
      </c>
      <c r="K327" s="6" t="s">
        <v>703</v>
      </c>
      <c r="L327" s="6" t="s">
        <v>234</v>
      </c>
      <c r="M327" s="11" t="s">
        <v>1226</v>
      </c>
      <c r="N327" s="7" t="str">
        <f t="shared" si="17"/>
        <v>{"name": "Sorilla' s Fresh Produce", "map": "Haven", "fCoords": "1393, 3768", "waCoords": "--, --", "leaflet": "3485.391,  1421.429", "pinType": "Shopping", "mapRef": "Map Ref.: D11 (LC)", "type": "Greengrocer", "description": ""},</v>
      </c>
    </row>
    <row r="328" spans="1:14" ht="30" x14ac:dyDescent="0.25">
      <c r="A328" s="7" t="s">
        <v>704</v>
      </c>
      <c r="B328" s="7" t="s">
        <v>1187</v>
      </c>
      <c r="C328" s="6">
        <v>6211</v>
      </c>
      <c r="D328" s="6">
        <v>5187</v>
      </c>
      <c r="E328" s="6" t="str">
        <f>IFERROR(VLOOKUP($A328,tWA[],5,FALSE),"--")</f>
        <v>--</v>
      </c>
      <c r="F328" s="6" t="str">
        <f>IFERROR(VLOOKUP($A328,tWA[],6,FALSE),"--")</f>
        <v>--</v>
      </c>
      <c r="G328" s="18" t="s">
        <v>2032</v>
      </c>
      <c r="H328" s="18">
        <f t="shared" si="15"/>
        <v>2037.4319999999998</v>
      </c>
      <c r="I328" s="18" t="str">
        <f t="shared" si="16"/>
        <v>2037.432,  6337.755</v>
      </c>
      <c r="J328" s="6" t="s">
        <v>1204</v>
      </c>
      <c r="K328" s="6" t="s">
        <v>705</v>
      </c>
      <c r="L328" s="6" t="s">
        <v>68</v>
      </c>
      <c r="M328" s="11" t="s">
        <v>1226</v>
      </c>
      <c r="N328" s="7" t="str">
        <f t="shared" si="17"/>
        <v>{"name": "Soul's Anchor", "map": "Haven", "fCoords": "6211, 5187", "waCoords": "--, --", "leaflet": "2037.432,  6337.755", "pinType": "Inns &amp; Taverns", "mapRef": "Map Ref.: U06 (AU)", "type": "Tavern", "description": ""},</v>
      </c>
    </row>
    <row r="329" spans="1:14" ht="30" x14ac:dyDescent="0.25">
      <c r="A329" s="7" t="s">
        <v>706</v>
      </c>
      <c r="B329" s="7" t="s">
        <v>1187</v>
      </c>
      <c r="C329" s="6">
        <v>4964</v>
      </c>
      <c r="D329" s="6">
        <v>5259</v>
      </c>
      <c r="E329" s="6" t="str">
        <f>IFERROR(VLOOKUP($A329,tWA[],5,FALSE),"--")</f>
        <v>4954</v>
      </c>
      <c r="F329" s="6" t="str">
        <f>IFERROR(VLOOKUP($A329,tWA[],6,FALSE),"--")</f>
        <v>1920</v>
      </c>
      <c r="G329" s="18" t="s">
        <v>2033</v>
      </c>
      <c r="H329" s="18">
        <f t="shared" si="15"/>
        <v>1963.962</v>
      </c>
      <c r="I329" s="18" t="str">
        <f t="shared" si="16"/>
        <v>1963.962,  5065.306</v>
      </c>
      <c r="J329" s="6" t="s">
        <v>9</v>
      </c>
      <c r="K329" s="6" t="s">
        <v>707</v>
      </c>
      <c r="L329" s="6" t="s">
        <v>9</v>
      </c>
      <c r="M329" s="11" t="s">
        <v>1340</v>
      </c>
      <c r="N329" s="7" t="str">
        <f t="shared" si="17"/>
        <v>{"name": "Southbridge Barracks", "map": "Haven", "fCoords": "4964, 5259", "waCoords": "4954, 1920", "leaflet": "1963.962,  5065.306", "pinType": "City Guard", "mapRef": "Map Ref.: P06 (EL)", "type": "City Guard", "description": "A City Watch station."},</v>
      </c>
    </row>
    <row r="330" spans="1:14" ht="30" x14ac:dyDescent="0.25">
      <c r="A330" s="7" t="s">
        <v>708</v>
      </c>
      <c r="B330" s="7" t="s">
        <v>1187</v>
      </c>
      <c r="C330" s="6">
        <v>1430</v>
      </c>
      <c r="D330" s="6">
        <v>5296</v>
      </c>
      <c r="E330" s="6" t="str">
        <f>IFERROR(VLOOKUP($A330,tWA[],5,FALSE),"--")</f>
        <v>--</v>
      </c>
      <c r="F330" s="6" t="str">
        <f>IFERROR(VLOOKUP($A330,tWA[],6,FALSE),"--")</f>
        <v>--</v>
      </c>
      <c r="G330" s="18" t="s">
        <v>2034</v>
      </c>
      <c r="H330" s="18">
        <f t="shared" si="15"/>
        <v>1926.2069999999999</v>
      </c>
      <c r="I330" s="18" t="str">
        <f t="shared" si="16"/>
        <v>1926.207,  1459.184</v>
      </c>
      <c r="J330" s="6" t="s">
        <v>1218</v>
      </c>
      <c r="K330" s="6" t="s">
        <v>709</v>
      </c>
      <c r="L330" s="6" t="s">
        <v>229</v>
      </c>
      <c r="M330" s="11" t="s">
        <v>1226</v>
      </c>
      <c r="N330" s="7" t="str">
        <f t="shared" si="17"/>
        <v>{"name": "Spearchucker's", "map": "Haven", "fCoords": "1430, 5296", "waCoords": "--, --", "leaflet": "1926.207,  1459.184", "pinType": "Shopping", "mapRef": "Map Ref.: D06 (QF)", "type": "Weapons", "description": ""},</v>
      </c>
    </row>
    <row r="331" spans="1:14" ht="30" x14ac:dyDescent="0.25">
      <c r="A331" s="7" t="s">
        <v>710</v>
      </c>
      <c r="B331" s="7" t="s">
        <v>1187</v>
      </c>
      <c r="C331" s="6">
        <v>2902</v>
      </c>
      <c r="D331" s="6">
        <v>4051</v>
      </c>
      <c r="E331" s="6" t="str">
        <f>IFERROR(VLOOKUP($A331,tWA[],5,FALSE),"--")</f>
        <v>--</v>
      </c>
      <c r="F331" s="6" t="str">
        <f>IFERROR(VLOOKUP($A331,tWA[],6,FALSE),"--")</f>
        <v>--</v>
      </c>
      <c r="G331" s="18" t="s">
        <v>2035</v>
      </c>
      <c r="H331" s="18">
        <f t="shared" si="15"/>
        <v>3196.6149999999998</v>
      </c>
      <c r="I331" s="18" t="str">
        <f t="shared" si="16"/>
        <v>3196.615,  2961.224</v>
      </c>
      <c r="J331" s="6" t="s">
        <v>1677</v>
      </c>
      <c r="K331" s="6" t="s">
        <v>711</v>
      </c>
      <c r="L331" s="6" t="s">
        <v>475</v>
      </c>
      <c r="M331" s="11" t="s">
        <v>1226</v>
      </c>
      <c r="N331" s="7" t="str">
        <f t="shared" si="17"/>
        <v>{"name": "Spectacular Spectacles", "map": "Haven", "fCoords": "2902, 4051", "waCoords": "--, --", "leaflet": "3196.615,  2961.224", "pinType": "Service", "mapRef": "Map Ref.: J10 (JI)", "type": "Other Services", "description": ""},</v>
      </c>
    </row>
    <row r="332" spans="1:14" ht="30" x14ac:dyDescent="0.25">
      <c r="A332" s="7" t="s">
        <v>712</v>
      </c>
      <c r="B332" s="7" t="s">
        <v>1187</v>
      </c>
      <c r="C332" s="6">
        <v>627</v>
      </c>
      <c r="D332" s="6">
        <v>4500</v>
      </c>
      <c r="E332" s="6" t="str">
        <f>IFERROR(VLOOKUP($A332,tWA[],5,FALSE),"--")</f>
        <v>--</v>
      </c>
      <c r="F332" s="6" t="str">
        <f>IFERROR(VLOOKUP($A332,tWA[],6,FALSE),"--")</f>
        <v>--</v>
      </c>
      <c r="G332" s="18" t="s">
        <v>2036</v>
      </c>
      <c r="H332" s="18">
        <f t="shared" si="15"/>
        <v>2738.4519999999998</v>
      </c>
      <c r="I332" s="18" t="str">
        <f t="shared" si="16"/>
        <v>2738.452,  639.796</v>
      </c>
      <c r="J332" s="6" t="s">
        <v>1218</v>
      </c>
      <c r="K332" s="6" t="s">
        <v>713</v>
      </c>
      <c r="L332" s="6" t="s">
        <v>78</v>
      </c>
      <c r="M332" s="11" t="s">
        <v>1226</v>
      </c>
      <c r="N332" s="7" t="str">
        <f t="shared" si="17"/>
        <v>{"name": "Stables and Pens of Darankis t'Goran", "map": "Haven", "fCoords": "627, 4500", "waCoords": "--, --", "leaflet": "2738.452,  639.796", "pinType": "Shopping", "mapRef": "Map Ref.: B08 (PU)", "type": "Livestock", "description": ""},</v>
      </c>
    </row>
    <row r="333" spans="1:14" ht="30" x14ac:dyDescent="0.25">
      <c r="A333" s="7" t="s">
        <v>714</v>
      </c>
      <c r="B333" s="7" t="s">
        <v>1187</v>
      </c>
      <c r="C333" s="6">
        <v>1256</v>
      </c>
      <c r="D333" s="6">
        <v>4828</v>
      </c>
      <c r="E333" s="6" t="str">
        <f>IFERROR(VLOOKUP($A333,tWA[],5,FALSE),"--")</f>
        <v>--</v>
      </c>
      <c r="F333" s="6" t="str">
        <f>IFERROR(VLOOKUP($A333,tWA[],6,FALSE),"--")</f>
        <v>--</v>
      </c>
      <c r="G333" s="18" t="s">
        <v>2037</v>
      </c>
      <c r="H333" s="18">
        <f t="shared" si="15"/>
        <v>2403.7579999999998</v>
      </c>
      <c r="I333" s="18" t="str">
        <f t="shared" si="16"/>
        <v>2403.758,  1281.633</v>
      </c>
      <c r="J333" s="6" t="s">
        <v>1677</v>
      </c>
      <c r="K333" s="6" t="s">
        <v>716</v>
      </c>
      <c r="L333" s="6" t="s">
        <v>715</v>
      </c>
      <c r="M333" s="11" t="s">
        <v>1226</v>
      </c>
      <c r="N333" s="7" t="str">
        <f t="shared" si="17"/>
        <v>{"name": "Stage Depot - Fargot &amp; Weishe", "map": "Haven", "fCoords": "1256, 4828", "waCoords": "--, --", "leaflet": "2403.758,  1281.633", "pinType": "Service", "mapRef": "Map Ref.: D07 (QB)", "type": "Stagecoach", "description": ""},</v>
      </c>
    </row>
    <row r="334" spans="1:14" ht="30" x14ac:dyDescent="0.25">
      <c r="A334" s="7" t="s">
        <v>717</v>
      </c>
      <c r="B334" s="7" t="s">
        <v>1187</v>
      </c>
      <c r="C334" s="6">
        <v>493</v>
      </c>
      <c r="D334" s="6">
        <v>2837</v>
      </c>
      <c r="E334" s="6" t="str">
        <f>IFERROR(VLOOKUP($A334,tWA[],5,FALSE),"--")</f>
        <v>--</v>
      </c>
      <c r="F334" s="6" t="str">
        <f>IFERROR(VLOOKUP($A334,tWA[],6,FALSE),"--")</f>
        <v>--</v>
      </c>
      <c r="G334" s="18" t="s">
        <v>2038</v>
      </c>
      <c r="H334" s="18">
        <f t="shared" si="15"/>
        <v>4435.3910000000005</v>
      </c>
      <c r="I334" s="18" t="str">
        <f t="shared" si="16"/>
        <v>4435.391,  503.061</v>
      </c>
      <c r="J334" s="6" t="s">
        <v>1218</v>
      </c>
      <c r="K334" s="6" t="s">
        <v>718</v>
      </c>
      <c r="L334" s="6" t="s">
        <v>461</v>
      </c>
      <c r="M334" s="11" t="s">
        <v>1226</v>
      </c>
      <c r="N334" s="7" t="str">
        <f t="shared" si="17"/>
        <v>{"name": "Stammrig - Bootblack", "map": "Haven", "fCoords": "493, 2837", "waCoords": "--, --", "leaflet": "4435.391,  503.061", "pinType": "Shopping", "mapRef": "Map Ref.: A14 (HW)", "type": "Footwear", "description": ""},</v>
      </c>
    </row>
    <row r="335" spans="1:14" ht="30" x14ac:dyDescent="0.25">
      <c r="A335" s="7" t="s">
        <v>719</v>
      </c>
      <c r="B335" s="7" t="s">
        <v>1187</v>
      </c>
      <c r="C335" s="6">
        <v>390</v>
      </c>
      <c r="D335" s="6">
        <v>2482</v>
      </c>
      <c r="E335" s="6" t="str">
        <f>IFERROR(VLOOKUP($A335,tWA[],5,FALSE),"--")</f>
        <v>--</v>
      </c>
      <c r="F335" s="6" t="str">
        <f>IFERROR(VLOOKUP($A335,tWA[],6,FALSE),"--")</f>
        <v>--</v>
      </c>
      <c r="G335" s="18" t="s">
        <v>2039</v>
      </c>
      <c r="H335" s="18">
        <f t="shared" si="15"/>
        <v>4797.6360000000004</v>
      </c>
      <c r="I335" s="18" t="str">
        <f t="shared" si="16"/>
        <v>4797.636,  397.959</v>
      </c>
      <c r="J335" s="6" t="s">
        <v>1218</v>
      </c>
      <c r="K335" s="6" t="s">
        <v>721</v>
      </c>
      <c r="L335" s="6" t="s">
        <v>720</v>
      </c>
      <c r="M335" s="11" t="s">
        <v>1226</v>
      </c>
      <c r="N335" s="7" t="str">
        <f t="shared" si="17"/>
        <v>{"name": "Starkedelve Brewery", "map": "Haven", "fCoords": "390, 2482", "waCoords": "--, --", "leaflet": "4797.636,  397.959", "pinType": "Shopping", "mapRef": "Map Ref.: A15 (IH)", "type": "Brewer", "description": ""},</v>
      </c>
    </row>
    <row r="336" spans="1:14" ht="30" x14ac:dyDescent="0.25">
      <c r="A336" s="7" t="s">
        <v>722</v>
      </c>
      <c r="B336" s="7" t="s">
        <v>1187</v>
      </c>
      <c r="C336" s="6">
        <v>2084</v>
      </c>
      <c r="D336" s="6">
        <v>4283</v>
      </c>
      <c r="E336" s="6" t="str">
        <f>IFERROR(VLOOKUP($A336,tWA[],5,FALSE),"--")</f>
        <v>--</v>
      </c>
      <c r="F336" s="6" t="str">
        <f>IFERROR(VLOOKUP($A336,tWA[],6,FALSE),"--")</f>
        <v>--</v>
      </c>
      <c r="G336" s="18" t="s">
        <v>2040</v>
      </c>
      <c r="H336" s="18">
        <f t="shared" si="15"/>
        <v>2959.8809999999999</v>
      </c>
      <c r="I336" s="18" t="str">
        <f t="shared" si="16"/>
        <v>2959.881,  2126.531</v>
      </c>
      <c r="J336" s="6" t="s">
        <v>1218</v>
      </c>
      <c r="K336" s="6" t="s">
        <v>723</v>
      </c>
      <c r="L336" s="6" t="s">
        <v>241</v>
      </c>
      <c r="M336" s="11" t="s">
        <v>1226</v>
      </c>
      <c r="N336" s="7" t="str">
        <f t="shared" si="17"/>
        <v>{"name": "Starkindler", "map": "Haven", "fCoords": "2084, 4283", "waCoords": "--, --", "leaflet": "2959.881,  2126.531", "pinType": "Shopping", "mapRef": "Map Ref.: G09 (NG)", "type": "Magic", "description": ""},</v>
      </c>
    </row>
    <row r="337" spans="1:14" ht="30" x14ac:dyDescent="0.25">
      <c r="A337" s="7" t="s">
        <v>724</v>
      </c>
      <c r="B337" s="7" t="s">
        <v>1187</v>
      </c>
      <c r="C337" s="6">
        <v>843</v>
      </c>
      <c r="D337" s="6">
        <v>4768</v>
      </c>
      <c r="E337" s="6" t="str">
        <f>IFERROR(VLOOKUP($A337,tWA[],5,FALSE),"--")</f>
        <v>--</v>
      </c>
      <c r="F337" s="6" t="str">
        <f>IFERROR(VLOOKUP($A337,tWA[],6,FALSE),"--")</f>
        <v>--</v>
      </c>
      <c r="G337" s="18" t="s">
        <v>2041</v>
      </c>
      <c r="H337" s="18">
        <f t="shared" si="15"/>
        <v>2464.9829999999997</v>
      </c>
      <c r="I337" s="18" t="str">
        <f t="shared" si="16"/>
        <v>2464.983,  860.204</v>
      </c>
      <c r="J337" s="6" t="s">
        <v>1218</v>
      </c>
      <c r="K337" s="6" t="s">
        <v>725</v>
      </c>
      <c r="L337" s="6" t="s">
        <v>78</v>
      </c>
      <c r="M337" s="11" t="s">
        <v>1226</v>
      </c>
      <c r="N337" s="7" t="str">
        <f t="shared" si="17"/>
        <v>{"name": "Stock Yards", "map": "Haven", "fCoords": "843, 4768", "waCoords": "--, --", "leaflet": "2464.983,  860.204", "pinType": "Shopping", "mapRef": "Map Ref.: B08 (PQ)", "type": "Livestock", "description": ""},</v>
      </c>
    </row>
    <row r="338" spans="1:14" ht="30" x14ac:dyDescent="0.25">
      <c r="A338" s="7" t="s">
        <v>726</v>
      </c>
      <c r="B338" s="7" t="s">
        <v>1187</v>
      </c>
      <c r="C338" s="6">
        <v>4870</v>
      </c>
      <c r="D338" s="6">
        <v>5140</v>
      </c>
      <c r="E338" s="6" t="str">
        <f>IFERROR(VLOOKUP($A338,tWA[],5,FALSE),"--")</f>
        <v>--</v>
      </c>
      <c r="F338" s="6" t="str">
        <f>IFERROR(VLOOKUP($A338,tWA[],6,FALSE),"--")</f>
        <v>--</v>
      </c>
      <c r="G338" s="18" t="s">
        <v>2042</v>
      </c>
      <c r="H338" s="18">
        <f t="shared" si="15"/>
        <v>2085.3910000000001</v>
      </c>
      <c r="I338" s="18" t="str">
        <f t="shared" si="16"/>
        <v>2085.391,  4969.388</v>
      </c>
      <c r="J338" s="6" t="s">
        <v>1677</v>
      </c>
      <c r="K338" s="6" t="s">
        <v>727</v>
      </c>
      <c r="L338" s="6" t="s">
        <v>201</v>
      </c>
      <c r="M338" s="11" t="s">
        <v>1226</v>
      </c>
      <c r="N338" s="7" t="str">
        <f t="shared" si="17"/>
        <v>{"name": "Stonecutter's Yards", "map": "Haven", "fCoords": "4870, 5140", "waCoords": "--, --", "leaflet": "2085.391,  4969.388", "pinType": "Service", "mapRef": "Map Ref.: P06 (EJ)", "type": "Construction", "description": ""},</v>
      </c>
    </row>
    <row r="339" spans="1:14" ht="45" x14ac:dyDescent="0.25">
      <c r="A339" s="7" t="s">
        <v>728</v>
      </c>
      <c r="B339" s="7" t="s">
        <v>1187</v>
      </c>
      <c r="C339" s="6">
        <v>1711</v>
      </c>
      <c r="D339" s="6">
        <v>4216</v>
      </c>
      <c r="E339" s="6" t="str">
        <f>IFERROR(VLOOKUP($A339,tWA[],5,FALSE),"--")</f>
        <v>1710</v>
      </c>
      <c r="F339" s="6" t="str">
        <f>IFERROR(VLOOKUP($A339,tWA[],6,FALSE),"--")</f>
        <v>2955</v>
      </c>
      <c r="G339" s="18" t="s">
        <v>2043</v>
      </c>
      <c r="H339" s="18">
        <f t="shared" si="15"/>
        <v>3028.248</v>
      </c>
      <c r="I339" s="18" t="str">
        <f t="shared" si="16"/>
        <v>3028.248,  1745.918</v>
      </c>
      <c r="J339" s="6" t="s">
        <v>70</v>
      </c>
      <c r="K339" s="6" t="s">
        <v>729</v>
      </c>
      <c r="L339" s="6" t="s">
        <v>728</v>
      </c>
      <c r="M339" s="11" t="s">
        <v>1345</v>
      </c>
      <c r="N339" s="7" t="str">
        <f t="shared" si="17"/>
        <v>{"name": "Student Tenements", "map": "Haven", "fCoords": "1711, 4216", "waCoords": "1710, 2955", "leaflet": "3028.248,  1745.918", "pinType": "Residence", "mapRef": "Map Ref.: E09 (LU)", "type": "Student Tenements", "description": "Part of the University of Haven"},</v>
      </c>
    </row>
    <row r="340" spans="1:14" ht="45" x14ac:dyDescent="0.25">
      <c r="A340" s="7" t="s">
        <v>730</v>
      </c>
      <c r="B340" s="7" t="s">
        <v>1187</v>
      </c>
      <c r="C340" s="6">
        <v>3346</v>
      </c>
      <c r="D340" s="6">
        <v>1742</v>
      </c>
      <c r="E340" s="6" t="str">
        <f>IFERROR(VLOOKUP($A340,tWA[],5,FALSE),"--")</f>
        <v>3236</v>
      </c>
      <c r="F340" s="6" t="str">
        <f>IFERROR(VLOOKUP($A340,tWA[],6,FALSE),"--")</f>
        <v>5644</v>
      </c>
      <c r="G340" s="18" t="s">
        <v>2044</v>
      </c>
      <c r="H340" s="18">
        <f t="shared" si="15"/>
        <v>5552.7380000000003</v>
      </c>
      <c r="I340" s="18" t="str">
        <f t="shared" si="16"/>
        <v>5552.738,  3414.286</v>
      </c>
      <c r="J340" s="6" t="s">
        <v>1678</v>
      </c>
      <c r="K340" s="6" t="s">
        <v>731</v>
      </c>
      <c r="L340" s="6" t="s">
        <v>87</v>
      </c>
      <c r="M340" s="11" t="s">
        <v>1374</v>
      </c>
      <c r="N340" s="7" t="str">
        <f t="shared" si="17"/>
        <v>{"name": "Studio Lane", "map": "Haven", "fCoords": "3346, 1742", "waCoords": "3236, 5644", "leaflet": "5552.738,  3414.286", "pinType": "Landmark", "mapRef": "Map Ref.: K18 (SY)", "type": "Street", "description": "At one time, the home for many artists who served the whims of wealthy patrons in the Heights. Mostly residential now."},</v>
      </c>
    </row>
    <row r="341" spans="1:14" ht="30" x14ac:dyDescent="0.25">
      <c r="A341" s="7" t="s">
        <v>732</v>
      </c>
      <c r="B341" s="7" t="s">
        <v>1187</v>
      </c>
      <c r="C341" s="6">
        <v>364</v>
      </c>
      <c r="D341" s="6">
        <v>3776</v>
      </c>
      <c r="E341" s="6" t="str">
        <f>IFERROR(VLOOKUP($A341,tWA[],5,FALSE),"--")</f>
        <v>--</v>
      </c>
      <c r="F341" s="6" t="str">
        <f>IFERROR(VLOOKUP($A341,tWA[],6,FALSE),"--")</f>
        <v>--</v>
      </c>
      <c r="G341" s="18" t="s">
        <v>2045</v>
      </c>
      <c r="H341" s="18">
        <f t="shared" si="15"/>
        <v>3477.2280000000001</v>
      </c>
      <c r="I341" s="18" t="str">
        <f t="shared" si="16"/>
        <v>3477.228,  371.429</v>
      </c>
      <c r="J341" s="6" t="s">
        <v>1218</v>
      </c>
      <c r="K341" s="6" t="s">
        <v>733</v>
      </c>
      <c r="L341" s="6" t="s">
        <v>527</v>
      </c>
      <c r="M341" s="11" t="s">
        <v>1226</v>
      </c>
      <c r="N341" s="7" t="str">
        <f t="shared" si="17"/>
        <v>{"name": "Studio of Albrekki arn Dur - artist", "map": "Haven", "fCoords": "364, 3776", "waCoords": "--, --", "leaflet": "3477.228,  371.429", "pinType": "Shopping", "mapRef": "Map Ref.: A11 (KQ)", "type": "Artist", "description": ""},</v>
      </c>
    </row>
    <row r="342" spans="1:14" ht="30" x14ac:dyDescent="0.25">
      <c r="A342" s="7" t="s">
        <v>734</v>
      </c>
      <c r="B342" s="7" t="s">
        <v>1187</v>
      </c>
      <c r="C342" s="6">
        <v>2312</v>
      </c>
      <c r="D342" s="6">
        <v>4335</v>
      </c>
      <c r="E342" s="6" t="str">
        <f>IFERROR(VLOOKUP($A342,tWA[],5,FALSE),"--")</f>
        <v>--</v>
      </c>
      <c r="F342" s="6" t="str">
        <f>IFERROR(VLOOKUP($A342,tWA[],6,FALSE),"--")</f>
        <v>--</v>
      </c>
      <c r="G342" s="18" t="s">
        <v>2046</v>
      </c>
      <c r="H342" s="18">
        <f t="shared" si="15"/>
        <v>2906.819</v>
      </c>
      <c r="I342" s="18" t="str">
        <f t="shared" si="16"/>
        <v>2906.819,  2359.184</v>
      </c>
      <c r="J342" s="6" t="s">
        <v>1218</v>
      </c>
      <c r="K342" s="6" t="s">
        <v>735</v>
      </c>
      <c r="L342" s="6" t="s">
        <v>663</v>
      </c>
      <c r="M342" s="11" t="s">
        <v>1226</v>
      </c>
      <c r="N342" s="7" t="str">
        <f t="shared" si="17"/>
        <v>{"name": "Style Matters", "map": "Haven", "fCoords": "2312, 4335", "waCoords": "--, --", "leaflet": "2906.819,  2359.184", "pinType": "Shopping", "mapRef": "Map Ref.: H09 (NQ)", "type": "Tailor", "description": ""},</v>
      </c>
    </row>
    <row r="343" spans="1:14" ht="30" x14ac:dyDescent="0.25">
      <c r="A343" s="7" t="s">
        <v>736</v>
      </c>
      <c r="B343" s="7" t="s">
        <v>1187</v>
      </c>
      <c r="C343" s="6">
        <v>3538</v>
      </c>
      <c r="D343" s="6">
        <v>3725</v>
      </c>
      <c r="E343" s="6" t="str">
        <f>IFERROR(VLOOKUP($A343,tWA[],5,FALSE),"--")</f>
        <v>--</v>
      </c>
      <c r="F343" s="6" t="str">
        <f>IFERROR(VLOOKUP($A343,tWA[],6,FALSE),"--")</f>
        <v>--</v>
      </c>
      <c r="G343" s="18" t="s">
        <v>2047</v>
      </c>
      <c r="H343" s="18">
        <f t="shared" si="15"/>
        <v>3529.268</v>
      </c>
      <c r="I343" s="18" t="str">
        <f t="shared" si="16"/>
        <v>3529.268,  3610.204</v>
      </c>
      <c r="J343" s="6" t="s">
        <v>1677</v>
      </c>
      <c r="K343" s="6" t="s">
        <v>738</v>
      </c>
      <c r="L343" s="6" t="s">
        <v>737</v>
      </c>
      <c r="M343" s="11" t="s">
        <v>1226</v>
      </c>
      <c r="N343" s="7" t="str">
        <f t="shared" si="17"/>
        <v>{"name": "Summ Mercenaries", "map": "Haven", "fCoords": "3538, 3725", "waCoords": "--, --", "leaflet": "3529.268,  3610.204", "pinType": "Service", "mapRef": "Map Ref.: L11 (JJ)", "type": "Mercenaries", "description": ""},</v>
      </c>
    </row>
    <row r="344" spans="1:14" ht="30" x14ac:dyDescent="0.25">
      <c r="A344" s="7" t="s">
        <v>739</v>
      </c>
      <c r="B344" s="7" t="s">
        <v>1187</v>
      </c>
      <c r="C344" s="6">
        <v>2357</v>
      </c>
      <c r="D344" s="6">
        <v>4902</v>
      </c>
      <c r="E344" s="6" t="str">
        <f>IFERROR(VLOOKUP($A344,tWA[],5,FALSE),"--")</f>
        <v>--</v>
      </c>
      <c r="F344" s="6" t="str">
        <f>IFERROR(VLOOKUP($A344,tWA[],6,FALSE),"--")</f>
        <v>--</v>
      </c>
      <c r="G344" s="18" t="s">
        <v>2048</v>
      </c>
      <c r="H344" s="18">
        <f t="shared" si="15"/>
        <v>2328.248</v>
      </c>
      <c r="I344" s="18" t="str">
        <f t="shared" si="16"/>
        <v>2328.248,  2405.102</v>
      </c>
      <c r="J344" s="6" t="s">
        <v>1677</v>
      </c>
      <c r="K344" s="6" t="s">
        <v>740</v>
      </c>
      <c r="L344" s="6" t="s">
        <v>6</v>
      </c>
      <c r="M344" s="11" t="s">
        <v>1226</v>
      </c>
      <c r="N344" s="7" t="str">
        <f t="shared" si="17"/>
        <v>{"name": "Sundance - Inc.", "map": "Haven", "fCoords": "2357, 4902", "waCoords": "--, --", "leaflet": "2328.248,  2405.102", "pinType": "Service", "mapRef": "Map Ref.: H07 (MV)", "type": "Dance", "description": ""},</v>
      </c>
    </row>
    <row r="345" spans="1:14" ht="30" x14ac:dyDescent="0.25">
      <c r="A345" s="7" t="s">
        <v>741</v>
      </c>
      <c r="B345" s="7" t="s">
        <v>1187</v>
      </c>
      <c r="C345" s="6">
        <v>1500</v>
      </c>
      <c r="D345" s="6">
        <v>3247</v>
      </c>
      <c r="E345" s="6" t="str">
        <f>IFERROR(VLOOKUP($A345,tWA[],5,FALSE),"--")</f>
        <v>--</v>
      </c>
      <c r="F345" s="6" t="str">
        <f>IFERROR(VLOOKUP($A345,tWA[],6,FALSE),"--")</f>
        <v>--</v>
      </c>
      <c r="G345" s="18" t="s">
        <v>2049</v>
      </c>
      <c r="H345" s="18">
        <f t="shared" si="15"/>
        <v>4017.0229999999997</v>
      </c>
      <c r="I345" s="18" t="str">
        <f t="shared" si="16"/>
        <v>4017.023,  1530.612</v>
      </c>
      <c r="J345" s="6" t="s">
        <v>1218</v>
      </c>
      <c r="K345" s="6" t="s">
        <v>742</v>
      </c>
      <c r="L345" s="6" t="s">
        <v>54</v>
      </c>
      <c r="M345" s="11" t="s">
        <v>1226</v>
      </c>
      <c r="N345" s="7" t="str">
        <f t="shared" si="17"/>
        <v>{"name": "Suttler on the Green", "map": "Haven", "fCoords": "1500, 3247", "waCoords": "--, --", "leaflet": "4017.023,  1530.612", "pinType": "Shopping", "mapRef": "Map Ref.: E13 (IS)", "type": "General Goods", "description": ""},</v>
      </c>
    </row>
    <row r="346" spans="1:14" ht="30" x14ac:dyDescent="0.25">
      <c r="A346" s="7" t="s">
        <v>743</v>
      </c>
      <c r="B346" s="7" t="s">
        <v>1187</v>
      </c>
      <c r="C346" s="6">
        <v>3511</v>
      </c>
      <c r="D346" s="6">
        <v>3774</v>
      </c>
      <c r="E346" s="6" t="str">
        <f>IFERROR(VLOOKUP($A346,tWA[],5,FALSE),"--")</f>
        <v>--</v>
      </c>
      <c r="F346" s="6" t="str">
        <f>IFERROR(VLOOKUP($A346,tWA[],6,FALSE),"--")</f>
        <v>--</v>
      </c>
      <c r="G346" s="18" t="s">
        <v>2050</v>
      </c>
      <c r="H346" s="18">
        <f t="shared" si="15"/>
        <v>3479.268</v>
      </c>
      <c r="I346" s="18" t="str">
        <f t="shared" si="16"/>
        <v>3479.268,  3582.653</v>
      </c>
      <c r="J346" s="6" t="s">
        <v>1677</v>
      </c>
      <c r="K346" s="6" t="s">
        <v>745</v>
      </c>
      <c r="L346" s="6" t="s">
        <v>744</v>
      </c>
      <c r="M346" s="11" t="s">
        <v>1226</v>
      </c>
      <c r="N346" s="7" t="str">
        <f t="shared" si="17"/>
        <v>{"name": "Sweet Springs", "map": "Haven", "fCoords": "3511, 3774", "waCoords": "--, --", "leaflet": "3479.268,  3582.653", "pinType": "Service", "mapRef": "Map Ref.: L11 (JK)", "type": "Laundry", "description": ""},</v>
      </c>
    </row>
    <row r="347" spans="1:14" ht="30" x14ac:dyDescent="0.25">
      <c r="A347" s="7" t="s">
        <v>746</v>
      </c>
      <c r="B347" s="7" t="s">
        <v>1187</v>
      </c>
      <c r="C347" s="6">
        <v>6250</v>
      </c>
      <c r="D347" s="6">
        <v>5426</v>
      </c>
      <c r="E347" s="6" t="str">
        <f>IFERROR(VLOOKUP($A347,tWA[],5,FALSE),"--")</f>
        <v>--</v>
      </c>
      <c r="F347" s="6" t="str">
        <f>IFERROR(VLOOKUP($A347,tWA[],6,FALSE),"--")</f>
        <v>--</v>
      </c>
      <c r="G347" s="18" t="s">
        <v>2051</v>
      </c>
      <c r="H347" s="18">
        <f t="shared" si="15"/>
        <v>1793.5539999999999</v>
      </c>
      <c r="I347" s="18" t="str">
        <f t="shared" si="16"/>
        <v>1793.554,  6377.551</v>
      </c>
      <c r="J347" s="6" t="s">
        <v>1677</v>
      </c>
      <c r="K347" s="6" t="s">
        <v>747</v>
      </c>
      <c r="L347" s="6" t="s">
        <v>45</v>
      </c>
      <c r="M347" s="11" t="s">
        <v>1226</v>
      </c>
      <c r="N347" s="7" t="str">
        <f t="shared" si="17"/>
        <v>{"name": "Sym's Storage Company", "map": "Haven", "fCoords": "6250, 5426", "waCoords": "--, --", "leaflet": "1793.554,  6377.551", "pinType": "Service", "mapRef": "Map Ref.: U05 (AM)", "type": "Warehouse", "description": ""},</v>
      </c>
    </row>
    <row r="348" spans="1:14" ht="30" x14ac:dyDescent="0.25">
      <c r="A348" s="7" t="s">
        <v>748</v>
      </c>
      <c r="B348" s="7" t="s">
        <v>1187</v>
      </c>
      <c r="C348" s="6">
        <v>880</v>
      </c>
      <c r="D348" s="6">
        <v>3690</v>
      </c>
      <c r="E348" s="6" t="str">
        <f>IFERROR(VLOOKUP($A348,tWA[],5,FALSE),"--")</f>
        <v>--</v>
      </c>
      <c r="F348" s="6" t="str">
        <f>IFERROR(VLOOKUP($A348,tWA[],6,FALSE),"--")</f>
        <v>--</v>
      </c>
      <c r="G348" s="18" t="s">
        <v>2052</v>
      </c>
      <c r="H348" s="18">
        <f t="shared" si="15"/>
        <v>3564.9829999999997</v>
      </c>
      <c r="I348" s="18" t="str">
        <f t="shared" si="16"/>
        <v>3564.983,  897.959</v>
      </c>
      <c r="J348" s="6" t="s">
        <v>1199</v>
      </c>
      <c r="K348" s="6" t="s">
        <v>749</v>
      </c>
      <c r="L348" s="6" t="s">
        <v>646</v>
      </c>
      <c r="M348" s="11" t="s">
        <v>1226</v>
      </c>
      <c r="N348" s="7" t="str">
        <f t="shared" si="17"/>
        <v>{"name": "T. Barnum Pott Memorial Museum", "map": "Haven", "fCoords": "880, 3690", "waCoords": "--, --", "leaflet": "3564.983,  897.959", "pinType": "Entertainment", "mapRef": "Map Ref.: C11 (LD)", "type": "Museum", "description": ""},</v>
      </c>
    </row>
    <row r="349" spans="1:14" ht="30" x14ac:dyDescent="0.25">
      <c r="A349" s="7" t="s">
        <v>750</v>
      </c>
      <c r="B349" s="7" t="s">
        <v>1187</v>
      </c>
      <c r="C349" s="6">
        <v>4632</v>
      </c>
      <c r="D349" s="6">
        <v>1362</v>
      </c>
      <c r="E349" s="6" t="str">
        <f>IFERROR(VLOOKUP($A349,tWA[],5,FALSE),"--")</f>
        <v>--</v>
      </c>
      <c r="F349" s="6" t="str">
        <f>IFERROR(VLOOKUP($A349,tWA[],6,FALSE),"--")</f>
        <v>--</v>
      </c>
      <c r="G349" s="18" t="s">
        <v>2053</v>
      </c>
      <c r="H349" s="18">
        <f t="shared" si="15"/>
        <v>5940.4930000000004</v>
      </c>
      <c r="I349" s="18" t="str">
        <f t="shared" si="16"/>
        <v>5940.493,  4726.531</v>
      </c>
      <c r="J349" s="6" t="s">
        <v>1218</v>
      </c>
      <c r="K349" s="6" t="s">
        <v>751</v>
      </c>
      <c r="L349" s="6" t="s">
        <v>57</v>
      </c>
      <c r="M349" s="11" t="s">
        <v>1226</v>
      </c>
      <c r="N349" s="7" t="str">
        <f t="shared" si="17"/>
        <v>{"name": "Tabitha's", "map": "Haven", "fCoords": "4632, 1362", "waCoords": "--, --", "leaflet": "5940.493,  4726.531", "pinType": "Shopping", "mapRef": "Map Ref.: P19 (GS)", "type": "Baker", "description": ""},</v>
      </c>
    </row>
    <row r="350" spans="1:14" ht="30" x14ac:dyDescent="0.25">
      <c r="A350" s="7" t="s">
        <v>752</v>
      </c>
      <c r="B350" s="7" t="s">
        <v>1187</v>
      </c>
      <c r="C350" s="6">
        <v>2550</v>
      </c>
      <c r="D350" s="6">
        <v>1088</v>
      </c>
      <c r="E350" s="6" t="str">
        <f>IFERROR(VLOOKUP($A350,tWA[],5,FALSE),"--")</f>
        <v>--</v>
      </c>
      <c r="F350" s="6" t="str">
        <f>IFERROR(VLOOKUP($A350,tWA[],6,FALSE),"--")</f>
        <v>--</v>
      </c>
      <c r="G350" s="18" t="s">
        <v>2054</v>
      </c>
      <c r="H350" s="18">
        <f t="shared" si="15"/>
        <v>6220.085</v>
      </c>
      <c r="I350" s="18" t="str">
        <f t="shared" si="16"/>
        <v>6220.085,  2602.041</v>
      </c>
      <c r="J350" s="6" t="s">
        <v>70</v>
      </c>
      <c r="K350" s="6" t="s">
        <v>753</v>
      </c>
      <c r="L350" s="6" t="s">
        <v>71</v>
      </c>
      <c r="M350" s="11" t="s">
        <v>1226</v>
      </c>
      <c r="N350" s="7" t="str">
        <f t="shared" si="17"/>
        <v>{"name": "Tainley Family Residence", "map": "Haven", "fCoords": "2550, 1088", "waCoords": "--, --", "leaflet": "6220.085,  2602.041", "pinType": "Residence", "mapRef": "Map Ref.: H20 (CW)", "type": "Mansion", "description": ""},</v>
      </c>
    </row>
    <row r="351" spans="1:14" ht="30" x14ac:dyDescent="0.25">
      <c r="A351" s="7" t="s">
        <v>754</v>
      </c>
      <c r="B351" s="7" t="s">
        <v>1187</v>
      </c>
      <c r="C351" s="6">
        <v>2848</v>
      </c>
      <c r="D351" s="6">
        <v>5832</v>
      </c>
      <c r="E351" s="6" t="str">
        <f>IFERROR(VLOOKUP($A351,tWA[],5,FALSE),"--")</f>
        <v>--</v>
      </c>
      <c r="F351" s="6" t="str">
        <f>IFERROR(VLOOKUP($A351,tWA[],6,FALSE),"--")</f>
        <v>--</v>
      </c>
      <c r="G351" s="21" t="s">
        <v>2055</v>
      </c>
      <c r="H351" s="18">
        <f t="shared" si="15"/>
        <v>1379.2679999999998</v>
      </c>
      <c r="I351" s="18" t="str">
        <f t="shared" si="16"/>
        <v>1379.268,  2906.122</v>
      </c>
      <c r="J351" s="6" t="s">
        <v>1677</v>
      </c>
      <c r="K351" s="6" t="s">
        <v>755</v>
      </c>
      <c r="L351" s="6" t="s">
        <v>45</v>
      </c>
      <c r="M351" s="11" t="s">
        <v>1226</v>
      </c>
      <c r="N351" s="7" t="str">
        <f t="shared" si="17"/>
        <v>{"name": "Taki's Storage", "map": "Haven", "fCoords": "2848, 5832", "waCoords": "--, --", "leaflet": "1379.268,  2906.122", "pinType": "Service", "mapRef": "Map Ref.: I04 (QP)", "type": "Warehouse", "description": ""},</v>
      </c>
    </row>
    <row r="352" spans="1:14" ht="30" x14ac:dyDescent="0.25">
      <c r="A352" s="7" t="s">
        <v>756</v>
      </c>
      <c r="B352" s="7" t="s">
        <v>1187</v>
      </c>
      <c r="C352" s="6">
        <v>980</v>
      </c>
      <c r="D352" s="6">
        <v>2784</v>
      </c>
      <c r="E352" s="6" t="str">
        <f>IFERROR(VLOOKUP($A352,tWA[],5,FALSE),"--")</f>
        <v>--</v>
      </c>
      <c r="F352" s="6" t="str">
        <f>IFERROR(VLOOKUP($A352,tWA[],6,FALSE),"--")</f>
        <v>--</v>
      </c>
      <c r="G352" s="18" t="s">
        <v>2056</v>
      </c>
      <c r="H352" s="18">
        <f t="shared" si="15"/>
        <v>4489.4720000000007</v>
      </c>
      <c r="I352" s="18" t="str">
        <f t="shared" si="16"/>
        <v>4489.472,  1000.</v>
      </c>
      <c r="J352" s="6" t="s">
        <v>1218</v>
      </c>
      <c r="K352" s="6" t="s">
        <v>757</v>
      </c>
      <c r="L352" s="6" t="s">
        <v>527</v>
      </c>
      <c r="M352" s="11" t="s">
        <v>1226</v>
      </c>
      <c r="N352" s="7" t="str">
        <f t="shared" si="17"/>
        <v>{"name": "Tambel - Sculptress", "map": "Haven", "fCoords": "980, 2784", "waCoords": "--, --", "leaflet": "4489.472,  1000.", "pinType": "Shopping", "mapRef": "Map Ref.: C14 (HV)", "type": "Artist", "description": ""},</v>
      </c>
    </row>
    <row r="353" spans="1:14" ht="30" x14ac:dyDescent="0.25">
      <c r="A353" s="7" t="s">
        <v>758</v>
      </c>
      <c r="B353" s="7" t="s">
        <v>1187</v>
      </c>
      <c r="C353" s="6">
        <v>6234</v>
      </c>
      <c r="D353" s="6">
        <v>4896</v>
      </c>
      <c r="E353" s="6" t="str">
        <f>IFERROR(VLOOKUP($A353,tWA[],5,FALSE),"--")</f>
        <v>--</v>
      </c>
      <c r="F353" s="6" t="str">
        <f>IFERROR(VLOOKUP($A353,tWA[],6,FALSE),"--")</f>
        <v>--</v>
      </c>
      <c r="G353" s="18" t="s">
        <v>2057</v>
      </c>
      <c r="H353" s="18">
        <f t="shared" si="15"/>
        <v>2334.37</v>
      </c>
      <c r="I353" s="18" t="str">
        <f t="shared" si="16"/>
        <v>2334.37,  6361.224</v>
      </c>
      <c r="J353" s="6" t="s">
        <v>1218</v>
      </c>
      <c r="K353" s="6" t="s">
        <v>759</v>
      </c>
      <c r="L353" s="6" t="s">
        <v>25</v>
      </c>
      <c r="M353" s="11" t="s">
        <v>1226</v>
      </c>
      <c r="N353" s="7" t="str">
        <f t="shared" si="17"/>
        <v>{"name": "Tandouray Spice Co.", "map": "Haven", "fCoords": "6234, 4896", "waCoords": "--, --", "leaflet": "2334.37,  6361.224", "pinType": "Shopping", "mapRef": "Map Ref.: U07 (BH)", "type": "Spices", "description": ""},</v>
      </c>
    </row>
    <row r="354" spans="1:14" ht="30" x14ac:dyDescent="0.25">
      <c r="A354" s="7" t="s">
        <v>760</v>
      </c>
      <c r="B354" s="7" t="s">
        <v>1187</v>
      </c>
      <c r="C354" s="6">
        <v>6463</v>
      </c>
      <c r="D354" s="6">
        <v>2555</v>
      </c>
      <c r="E354" s="6" t="str">
        <f>IFERROR(VLOOKUP($A354,tWA[],5,FALSE),"--")</f>
        <v>--</v>
      </c>
      <c r="F354" s="6" t="str">
        <f>IFERROR(VLOOKUP($A354,tWA[],6,FALSE),"--")</f>
        <v>--</v>
      </c>
      <c r="G354" s="18" t="s">
        <v>2058</v>
      </c>
      <c r="H354" s="18">
        <f t="shared" si="15"/>
        <v>4723.1460000000006</v>
      </c>
      <c r="I354" s="18" t="str">
        <f t="shared" si="16"/>
        <v>4723.146,  6594.898</v>
      </c>
      <c r="J354" s="6" t="s">
        <v>1218</v>
      </c>
      <c r="K354" s="6" t="s">
        <v>761</v>
      </c>
      <c r="L354" s="6" t="s">
        <v>490</v>
      </c>
      <c r="M354" s="11" t="s">
        <v>1226</v>
      </c>
      <c r="N354" s="7" t="str">
        <f t="shared" si="17"/>
        <v>{"name": "Tandy - Leathers", "map": "Haven", "fCoords": "6463, 2555", "waCoords": "--, --", "leaflet": "4723.146,  6594.898", "pinType": "Shopping", "mapRef": "Map Ref.: V15 (AC)", "type": "Leatherworker", "description": ""},</v>
      </c>
    </row>
    <row r="355" spans="1:14" ht="45" x14ac:dyDescent="0.25">
      <c r="A355" s="7" t="s">
        <v>762</v>
      </c>
      <c r="B355" s="7" t="s">
        <v>1187</v>
      </c>
      <c r="C355" s="6">
        <v>2250</v>
      </c>
      <c r="D355" s="6">
        <v>3821</v>
      </c>
      <c r="E355" s="6" t="str">
        <f>IFERROR(VLOOKUP($A355,tWA[],5,FALSE),"--")</f>
        <v>2251</v>
      </c>
      <c r="F355" s="6" t="str">
        <f>IFERROR(VLOOKUP($A355,tWA[],6,FALSE),"--")</f>
        <v>3367</v>
      </c>
      <c r="G355" s="18" t="s">
        <v>2059</v>
      </c>
      <c r="H355" s="18">
        <f t="shared" si="15"/>
        <v>3431.3089999999997</v>
      </c>
      <c r="I355" s="18" t="str">
        <f t="shared" si="16"/>
        <v>3431.309,  2295.918</v>
      </c>
      <c r="J355" s="6" t="s">
        <v>1197</v>
      </c>
      <c r="K355" s="6" t="s">
        <v>763</v>
      </c>
      <c r="L355" s="6" t="s">
        <v>442</v>
      </c>
      <c r="M355" s="11" t="s">
        <v>1342</v>
      </c>
      <c r="N355" s="7" t="str">
        <f t="shared" si="17"/>
        <v>{"name": "Tarmialda 'The Loft'", "map": "Haven", "fCoords": "2250, 3821", "waCoords": "2251, 3367", "leaflet": "3431.309,  2295.918", "pinType": "Dining", "mapRef": "Map Ref.: G11 (JE)", "type": "Restaurant", "description": "One of the best dining establishments in the city"},</v>
      </c>
    </row>
    <row r="356" spans="1:14" ht="30" x14ac:dyDescent="0.25">
      <c r="A356" s="7" t="s">
        <v>764</v>
      </c>
      <c r="B356" s="7" t="s">
        <v>1187</v>
      </c>
      <c r="C356" s="6">
        <v>1011</v>
      </c>
      <c r="D356" s="6">
        <v>4525</v>
      </c>
      <c r="E356" s="6" t="str">
        <f>IFERROR(VLOOKUP($A356,tWA[],5,FALSE),"--")</f>
        <v>--</v>
      </c>
      <c r="F356" s="6" t="str">
        <f>IFERROR(VLOOKUP($A356,tWA[],6,FALSE),"--")</f>
        <v>--</v>
      </c>
      <c r="G356" s="18" t="s">
        <v>2060</v>
      </c>
      <c r="H356" s="18">
        <f t="shared" si="15"/>
        <v>2712.942</v>
      </c>
      <c r="I356" s="18" t="str">
        <f t="shared" si="16"/>
        <v>2712.942,  1031.633</v>
      </c>
      <c r="J356" s="6" t="s">
        <v>1218</v>
      </c>
      <c r="K356" s="6" t="s">
        <v>765</v>
      </c>
      <c r="L356" s="6" t="s">
        <v>229</v>
      </c>
      <c r="M356" s="11" t="s">
        <v>1226</v>
      </c>
      <c r="N356" s="7" t="str">
        <f t="shared" si="17"/>
        <v>{"name": "Tedius and Sprig", "map": "Haven", "fCoords": "1011, 4525", "waCoords": "--, --", "leaflet": "2712.942,  1031.633", "pinType": "Shopping", "mapRef": "Map Ref.: C08 (PZ)", "type": "Weapons", "description": ""},</v>
      </c>
    </row>
    <row r="357" spans="1:14" ht="30" x14ac:dyDescent="0.25">
      <c r="A357" s="7" t="s">
        <v>766</v>
      </c>
      <c r="B357" s="7" t="s">
        <v>1187</v>
      </c>
      <c r="C357" s="6">
        <v>3471</v>
      </c>
      <c r="D357" s="6">
        <v>3723</v>
      </c>
      <c r="E357" s="6" t="str">
        <f>IFERROR(VLOOKUP($A357,tWA[],5,FALSE),"--")</f>
        <v>--</v>
      </c>
      <c r="F357" s="6" t="str">
        <f>IFERROR(VLOOKUP($A357,tWA[],6,FALSE),"--")</f>
        <v>--</v>
      </c>
      <c r="G357" s="18" t="s">
        <v>2061</v>
      </c>
      <c r="H357" s="18">
        <f t="shared" si="15"/>
        <v>3531.3089999999997</v>
      </c>
      <c r="I357" s="18" t="str">
        <f t="shared" si="16"/>
        <v>3531.309,  3541.837</v>
      </c>
      <c r="J357" s="6" t="s">
        <v>1677</v>
      </c>
      <c r="K357" s="6" t="s">
        <v>767</v>
      </c>
      <c r="L357" s="6" t="s">
        <v>201</v>
      </c>
      <c r="M357" s="11" t="s">
        <v>1226</v>
      </c>
      <c r="N357" s="7" t="str">
        <f t="shared" si="17"/>
        <v>{"name": "Teleril - Architect", "map": "Haven", "fCoords": "3471, 3723", "waCoords": "--, --", "leaflet": "3531.309,  3541.837", "pinType": "Service", "mapRef": "Map Ref.: L11 (JA)", "type": "Construction", "description": ""},</v>
      </c>
    </row>
    <row r="358" spans="1:14" ht="45" x14ac:dyDescent="0.25">
      <c r="A358" s="7" t="s">
        <v>768</v>
      </c>
      <c r="B358" s="7" t="s">
        <v>1187</v>
      </c>
      <c r="C358" s="6">
        <v>4729</v>
      </c>
      <c r="D358" s="6">
        <v>3221</v>
      </c>
      <c r="E358" s="6" t="str">
        <f>IFERROR(VLOOKUP($A358,tWA[],5,FALSE),"--")</f>
        <v>4735</v>
      </c>
      <c r="F358" s="6" t="str">
        <f>IFERROR(VLOOKUP($A358,tWA[],6,FALSE),"--")</f>
        <v>3974</v>
      </c>
      <c r="G358" s="18" t="s">
        <v>2062</v>
      </c>
      <c r="H358" s="18">
        <f t="shared" si="15"/>
        <v>4043.5540000000001</v>
      </c>
      <c r="I358" s="18" t="str">
        <f t="shared" si="16"/>
        <v>4043.554,  4825.51</v>
      </c>
      <c r="J358" s="6" t="s">
        <v>1679</v>
      </c>
      <c r="K358" s="6" t="s">
        <v>770</v>
      </c>
      <c r="L358" s="6" t="s">
        <v>769</v>
      </c>
      <c r="M358" s="11" t="s">
        <v>1383</v>
      </c>
      <c r="N358" s="7" t="str">
        <f t="shared" si="17"/>
        <v>{"name": "Temple of Ariel", "map": "Haven", "fCoords": "4729, 3221", "waCoords": "4735, 3974", "leaflet": "4043.554,  4825.51", "pinType": "Religion", "mapRef": "Map Ref.: P13 (RZ)", "type": "Temple", "description": "Ariel: Goddess of Love and Beauty, Patron of the Arts"},</v>
      </c>
    </row>
    <row r="359" spans="1:14" ht="45" x14ac:dyDescent="0.25">
      <c r="A359" s="7" t="s">
        <v>771</v>
      </c>
      <c r="B359" s="7" t="s">
        <v>1187</v>
      </c>
      <c r="C359" s="6">
        <v>5083</v>
      </c>
      <c r="D359" s="6">
        <v>3368</v>
      </c>
      <c r="E359" s="6" t="str">
        <f>IFERROR(VLOOKUP($A359,tWA[],5,FALSE),"--")</f>
        <v>5091</v>
      </c>
      <c r="F359" s="6" t="str">
        <f>IFERROR(VLOOKUP($A359,tWA[],6,FALSE),"--")</f>
        <v>3823</v>
      </c>
      <c r="G359" s="18" t="s">
        <v>2063</v>
      </c>
      <c r="H359" s="18">
        <f t="shared" si="15"/>
        <v>3893.5540000000001</v>
      </c>
      <c r="I359" s="18" t="str">
        <f t="shared" si="16"/>
        <v>3893.554,  5186.735</v>
      </c>
      <c r="J359" s="6" t="s">
        <v>1679</v>
      </c>
      <c r="K359" s="6" t="s">
        <v>772</v>
      </c>
      <c r="L359" s="6" t="s">
        <v>769</v>
      </c>
      <c r="M359" s="11" t="s">
        <v>1384</v>
      </c>
      <c r="N359" s="7" t="str">
        <f t="shared" si="17"/>
        <v>{"name": "Temple of Azriel", "map": "Haven", "fCoords": "5083, 3368", "waCoords": "5091, 3823", "leaflet": "3893.554,  5186.735", "pinType": "Religion", "mapRef": "Map Ref.: Q12 (TX)", "type": "Temple", "description": "Azriel: Goddess of Disease and Suffering, Mistress of Pain"},</v>
      </c>
    </row>
    <row r="360" spans="1:14" ht="30" x14ac:dyDescent="0.25">
      <c r="A360" s="7" t="s">
        <v>773</v>
      </c>
      <c r="B360" s="7" t="s">
        <v>1187</v>
      </c>
      <c r="C360" s="6">
        <v>5281</v>
      </c>
      <c r="D360" s="6">
        <v>3634</v>
      </c>
      <c r="E360" s="6" t="str">
        <f>IFERROR(VLOOKUP($A360,tWA[],5,FALSE),"--")</f>
        <v>5284</v>
      </c>
      <c r="F360" s="6" t="str">
        <f>IFERROR(VLOOKUP($A360,tWA[],6,FALSE),"--")</f>
        <v>3556</v>
      </c>
      <c r="G360" s="18" t="s">
        <v>2064</v>
      </c>
      <c r="H360" s="18">
        <f t="shared" si="15"/>
        <v>3622.1259999999997</v>
      </c>
      <c r="I360" s="18" t="str">
        <f t="shared" si="16"/>
        <v>3622.126,  5388.776</v>
      </c>
      <c r="J360" s="6" t="s">
        <v>1679</v>
      </c>
      <c r="K360" s="6" t="s">
        <v>774</v>
      </c>
      <c r="L360" s="6" t="s">
        <v>769</v>
      </c>
      <c r="M360" s="11" t="s">
        <v>1385</v>
      </c>
      <c r="N360" s="7" t="str">
        <f t="shared" si="17"/>
        <v>{"name": "Temple of Ea", "map": "Haven", "fCoords": "5281, 3634", "waCoords": "5284, 3556", "leaflet": "3622.126,  5388.776", "pinType": "Religion", "mapRef": "Map Ref.: R11 (HM)", "type": "Temple", "description": "Ea: Goddess of the Air"},</v>
      </c>
    </row>
    <row r="361" spans="1:14" ht="30" x14ac:dyDescent="0.25">
      <c r="A361" s="7" t="s">
        <v>775</v>
      </c>
      <c r="B361" s="7" t="s">
        <v>1187</v>
      </c>
      <c r="C361" s="6">
        <v>4646</v>
      </c>
      <c r="D361" s="6">
        <v>3117</v>
      </c>
      <c r="E361" s="6" t="str">
        <f>IFERROR(VLOOKUP($A361,tWA[],5,FALSE),"--")</f>
        <v>4642</v>
      </c>
      <c r="F361" s="6" t="str">
        <f>IFERROR(VLOOKUP($A361,tWA[],6,FALSE),"--")</f>
        <v>4076</v>
      </c>
      <c r="G361" s="18" t="s">
        <v>2065</v>
      </c>
      <c r="H361" s="18">
        <f t="shared" si="15"/>
        <v>4149.6770000000006</v>
      </c>
      <c r="I361" s="18" t="str">
        <f t="shared" si="16"/>
        <v>4149.677,  4740.816</v>
      </c>
      <c r="J361" s="6" t="s">
        <v>1679</v>
      </c>
      <c r="K361" s="6" t="s">
        <v>776</v>
      </c>
      <c r="L361" s="6" t="s">
        <v>769</v>
      </c>
      <c r="M361" s="11" t="s">
        <v>1386</v>
      </c>
      <c r="N361" s="7" t="str">
        <f t="shared" si="17"/>
        <v>{"name": "Temple of Etheah", "map": "Haven", "fCoords": "4646, 3117", "waCoords": "4642, 4076", "leaflet": "4149.677,  4740.816", "pinType": "Religion", "mapRef": "Map Ref.: P13 (RS)", "type": "Temple", "description": "Etheah: Goddess of Nature"},</v>
      </c>
    </row>
    <row r="362" spans="1:14" ht="30" x14ac:dyDescent="0.25">
      <c r="A362" s="7" t="s">
        <v>777</v>
      </c>
      <c r="B362" s="7" t="s">
        <v>1187</v>
      </c>
      <c r="C362" s="6">
        <v>5122</v>
      </c>
      <c r="D362" s="6">
        <v>3569</v>
      </c>
      <c r="E362" s="6" t="str">
        <f>IFERROR(VLOOKUP($A362,tWA[],5,FALSE),"--")</f>
        <v>5111</v>
      </c>
      <c r="F362" s="6" t="str">
        <f>IFERROR(VLOOKUP($A362,tWA[],6,FALSE),"--")</f>
        <v>3610</v>
      </c>
      <c r="G362" s="18" t="s">
        <v>2066</v>
      </c>
      <c r="H362" s="18">
        <f t="shared" si="15"/>
        <v>3688.4519999999998</v>
      </c>
      <c r="I362" s="18" t="str">
        <f t="shared" si="16"/>
        <v>3688.452,  5226.531</v>
      </c>
      <c r="J362" s="6" t="s">
        <v>1679</v>
      </c>
      <c r="K362" s="6" t="s">
        <v>778</v>
      </c>
      <c r="L362" s="6" t="s">
        <v>769</v>
      </c>
      <c r="M362" s="11" t="s">
        <v>1387</v>
      </c>
      <c r="N362" s="7" t="str">
        <f t="shared" si="17"/>
        <v>{"name": "Temple of Istara", "map": "Haven", "fCoords": "5122, 3569", "waCoords": "5111, 3610", "leaflet": "3688.452,  5226.531", "pinType": "Religion", "mapRef": "Map Ref.: Q12 (BO)", "type": "Temple", "description": "Istara: Goddess of Magic"},</v>
      </c>
    </row>
    <row r="363" spans="1:14" ht="45" x14ac:dyDescent="0.25">
      <c r="A363" s="7" t="s">
        <v>779</v>
      </c>
      <c r="B363" s="7" t="s">
        <v>1187</v>
      </c>
      <c r="C363" s="6">
        <v>4267</v>
      </c>
      <c r="D363" s="6">
        <v>2631</v>
      </c>
      <c r="E363" s="6" t="str">
        <f>IFERROR(VLOOKUP($A363,tWA[],5,FALSE),"--")</f>
        <v>4268</v>
      </c>
      <c r="F363" s="6" t="str">
        <f>IFERROR(VLOOKUP($A363,tWA[],6,FALSE),"--")</f>
        <v>4534</v>
      </c>
      <c r="G363" s="18" t="s">
        <v>2067</v>
      </c>
      <c r="H363" s="18">
        <f t="shared" si="15"/>
        <v>4645.5950000000003</v>
      </c>
      <c r="I363" s="18" t="str">
        <f t="shared" si="16"/>
        <v>4645.595,  4354.082</v>
      </c>
      <c r="J363" s="6" t="s">
        <v>1679</v>
      </c>
      <c r="K363" s="6" t="s">
        <v>780</v>
      </c>
      <c r="L363" s="6" t="s">
        <v>769</v>
      </c>
      <c r="M363" s="11" t="s">
        <v>1388</v>
      </c>
      <c r="N363" s="7" t="str">
        <f t="shared" si="17"/>
        <v>{"name": "Temple of Ladros", "map": "Haven", "fCoords": "4267, 2631", "waCoords": "4268, 4534", "leaflet": "4645.595,  4354.082", "pinType": "Religion", "mapRef": "Map Ref.: N15 (GW)", "type": "Temple", "description": "Ladros: God of Knowledge, Father of the Gods"},</v>
      </c>
    </row>
    <row r="364" spans="1:14" ht="45" x14ac:dyDescent="0.25">
      <c r="A364" s="7" t="s">
        <v>781</v>
      </c>
      <c r="B364" s="7" t="s">
        <v>1187</v>
      </c>
      <c r="C364" s="6">
        <v>4878</v>
      </c>
      <c r="D364" s="6">
        <v>3180</v>
      </c>
      <c r="E364" s="6" t="str">
        <f>IFERROR(VLOOKUP($A364,tWA[],5,FALSE),"--")</f>
        <v>4887</v>
      </c>
      <c r="F364" s="6" t="str">
        <f>IFERROR(VLOOKUP($A364,tWA[],6,FALSE),"--")</f>
        <v>4007</v>
      </c>
      <c r="G364" s="18" t="s">
        <v>2068</v>
      </c>
      <c r="H364" s="18">
        <f t="shared" si="15"/>
        <v>4085.3910000000001</v>
      </c>
      <c r="I364" s="18" t="str">
        <f t="shared" si="16"/>
        <v>4085.391,  4977.551</v>
      </c>
      <c r="J364" s="6" t="s">
        <v>1679</v>
      </c>
      <c r="K364" s="6" t="s">
        <v>782</v>
      </c>
      <c r="L364" s="6" t="s">
        <v>769</v>
      </c>
      <c r="M364" s="11" t="s">
        <v>1389</v>
      </c>
      <c r="N364" s="7" t="str">
        <f t="shared" si="17"/>
        <v>{"name": "Temple of Maedhros", "map": "Haven", "fCoords": "4878, 3180", "waCoords": "4887, 4007", "leaflet": "4085.391,  4977.551", "pinType": "Religion", "mapRef": "Map Ref.: P13 (NN)", "type": "Temple", "description": "Maedhros: God of Fire, Patron of Metalworkers"},</v>
      </c>
    </row>
    <row r="365" spans="1:14" ht="30" x14ac:dyDescent="0.25">
      <c r="A365" s="7" t="s">
        <v>783</v>
      </c>
      <c r="B365" s="7" t="s">
        <v>1187</v>
      </c>
      <c r="C365" s="6">
        <v>4990</v>
      </c>
      <c r="D365" s="6">
        <v>3430</v>
      </c>
      <c r="E365" s="6" t="str">
        <f>IFERROR(VLOOKUP($A365,tWA[],5,FALSE),"--")</f>
        <v>4978</v>
      </c>
      <c r="F365" s="6" t="str">
        <f>IFERROR(VLOOKUP($A365,tWA[],6,FALSE),"--")</f>
        <v>3750</v>
      </c>
      <c r="G365" s="18" t="s">
        <v>2069</v>
      </c>
      <c r="H365" s="18">
        <f t="shared" si="15"/>
        <v>3830.2889999999998</v>
      </c>
      <c r="I365" s="18" t="str">
        <f t="shared" si="16"/>
        <v>3830.289,  5091.837</v>
      </c>
      <c r="J365" s="6" t="s">
        <v>1679</v>
      </c>
      <c r="K365" s="6" t="s">
        <v>784</v>
      </c>
      <c r="L365" s="6" t="s">
        <v>769</v>
      </c>
      <c r="M365" s="11" t="s">
        <v>1390</v>
      </c>
      <c r="N365" s="7" t="str">
        <f t="shared" si="17"/>
        <v>{"name": "Temple of Mandos", "map": "Haven", "fCoords": "4990, 3430", "waCoords": "4978, 3750", "leaflet": "3830.289,  5091.837", "pinType": "Religion", "mapRef": "Map Ref.: Q12 (TW)", "type": "Temple", "description": "Mandos : God of Death"},</v>
      </c>
    </row>
    <row r="366" spans="1:14" ht="45" x14ac:dyDescent="0.25">
      <c r="A366" s="7" t="s">
        <v>785</v>
      </c>
      <c r="B366" s="7" t="s">
        <v>1187</v>
      </c>
      <c r="C366" s="6">
        <v>4836</v>
      </c>
      <c r="D366" s="6">
        <v>3306</v>
      </c>
      <c r="E366" s="6" t="str">
        <f>IFERROR(VLOOKUP($A366,tWA[],5,FALSE),"--")</f>
        <v>4830</v>
      </c>
      <c r="F366" s="6" t="str">
        <f>IFERROR(VLOOKUP($A366,tWA[],6,FALSE),"--")</f>
        <v>3876</v>
      </c>
      <c r="G366" s="18" t="s">
        <v>2070</v>
      </c>
      <c r="H366" s="18">
        <f t="shared" si="15"/>
        <v>3956.819</v>
      </c>
      <c r="I366" s="18" t="str">
        <f t="shared" si="16"/>
        <v>3956.819,  4934.694</v>
      </c>
      <c r="J366" s="6" t="s">
        <v>1679</v>
      </c>
      <c r="K366" s="6" t="s">
        <v>786</v>
      </c>
      <c r="L366" s="6" t="s">
        <v>769</v>
      </c>
      <c r="M366" s="11" t="s">
        <v>1391</v>
      </c>
      <c r="N366" s="7" t="str">
        <f t="shared" si="17"/>
        <v>{"name": "Temple of Narconal", "map": "Haven", "fCoords": "4836, 3306", "waCoords": "4830, 3876", "leaflet": "3956.819,  4934.694", "pinType": "Religion", "mapRef": "Map Ref.: P12 (HK)", "type": "Temple", "description": "Narconal: God of the Earth and Agriculture"},</v>
      </c>
    </row>
    <row r="367" spans="1:14" ht="45" x14ac:dyDescent="0.25">
      <c r="A367" s="7" t="s">
        <v>787</v>
      </c>
      <c r="B367" s="7" t="s">
        <v>1187</v>
      </c>
      <c r="C367" s="6">
        <v>4365</v>
      </c>
      <c r="D367" s="6">
        <v>2882</v>
      </c>
      <c r="E367" s="6" t="str">
        <f>IFERROR(VLOOKUP($A367,tWA[],5,FALSE),"--")</f>
        <v>4362</v>
      </c>
      <c r="F367" s="6" t="str">
        <f>IFERROR(VLOOKUP($A367,tWA[],6,FALSE),"--")</f>
        <v>4318</v>
      </c>
      <c r="G367" s="18" t="s">
        <v>2071</v>
      </c>
      <c r="H367" s="18">
        <f t="shared" si="15"/>
        <v>4389.4720000000007</v>
      </c>
      <c r="I367" s="18" t="str">
        <f t="shared" si="16"/>
        <v>4389.472,  4454.082</v>
      </c>
      <c r="J367" s="6" t="s">
        <v>1679</v>
      </c>
      <c r="K367" s="6" t="s">
        <v>788</v>
      </c>
      <c r="L367" s="6" t="s">
        <v>769</v>
      </c>
      <c r="M367" s="11" t="s">
        <v>1392</v>
      </c>
      <c r="N367" s="7" t="str">
        <f t="shared" si="17"/>
        <v>{"name": "Temple of Nenya", "map": "Haven", "fCoords": "4365, 2882", "waCoords": "4362, 4318", "leaflet": "4389.472,  4454.082", "pinType": "Religion", "mapRef": "Map Ref.: O14 (GV)", "type": "Temple", "description": "Nenya: Goddess of the Sea, Mother of Storms, Patron of Sailors"},</v>
      </c>
    </row>
    <row r="368" spans="1:14" ht="45" x14ac:dyDescent="0.25">
      <c r="A368" s="7" t="s">
        <v>1673</v>
      </c>
      <c r="B368" s="7" t="s">
        <v>1187</v>
      </c>
      <c r="C368" s="6">
        <v>3916</v>
      </c>
      <c r="D368" s="6">
        <v>2667</v>
      </c>
      <c r="E368" s="6" t="str">
        <f>IFERROR(VLOOKUP($A368,tWA[],5,FALSE),"--")</f>
        <v>3921</v>
      </c>
      <c r="F368" s="6" t="str">
        <f>IFERROR(VLOOKUP($A368,tWA[],6,FALSE),"--")</f>
        <v>4566</v>
      </c>
      <c r="G368" s="18" t="s">
        <v>2072</v>
      </c>
      <c r="H368" s="18">
        <f t="shared" si="15"/>
        <v>4608.8600000000006</v>
      </c>
      <c r="I368" s="18" t="str">
        <f t="shared" si="16"/>
        <v>4608.86,  3995.918</v>
      </c>
      <c r="J368" s="6" t="s">
        <v>1679</v>
      </c>
      <c r="K368" s="6" t="s">
        <v>790</v>
      </c>
      <c r="L368" s="6" t="s">
        <v>769</v>
      </c>
      <c r="M368" s="11" t="s">
        <v>1393</v>
      </c>
      <c r="N368" s="7" t="str">
        <f t="shared" si="17"/>
        <v>{"name": "Temple of Serindë", "map": "Haven", "fCoords": "3916, 2667", "waCoords": "3921, 4566", "leaflet": "4608.86,  3995.918", "pinType": "Religion", "mapRef": "Map Ref.: M15 (GU)", "type": "Temple", "description": "Serindë: Goddess of Truth, Mother of the Gods"},</v>
      </c>
    </row>
    <row r="369" spans="1:14" ht="45" x14ac:dyDescent="0.25">
      <c r="A369" s="7" t="s">
        <v>791</v>
      </c>
      <c r="B369" s="7" t="s">
        <v>1187</v>
      </c>
      <c r="C369" s="6">
        <v>4457</v>
      </c>
      <c r="D369" s="6">
        <v>2750</v>
      </c>
      <c r="E369" s="6" t="str">
        <f>IFERROR(VLOOKUP($A369,tWA[],5,FALSE),"--")</f>
        <v>4455</v>
      </c>
      <c r="F369" s="6" t="str">
        <f>IFERROR(VLOOKUP($A369,tWA[],6,FALSE),"--")</f>
        <v>4426</v>
      </c>
      <c r="G369" s="18" t="s">
        <v>2073</v>
      </c>
      <c r="H369" s="18">
        <f t="shared" si="15"/>
        <v>4524.1660000000002</v>
      </c>
      <c r="I369" s="18" t="str">
        <f t="shared" si="16"/>
        <v>4524.166,  4547.959</v>
      </c>
      <c r="J369" s="6" t="s">
        <v>1679</v>
      </c>
      <c r="K369" s="6" t="s">
        <v>792</v>
      </c>
      <c r="L369" s="6" t="s">
        <v>769</v>
      </c>
      <c r="M369" s="11" t="s">
        <v>1394</v>
      </c>
      <c r="N369" s="7" t="str">
        <f t="shared" si="17"/>
        <v>{"name": "Temple of Strathos", "map": "Haven", "fCoords": "4457, 2750", "waCoords": "4455, 4426", "leaflet": "4524.166,  4547.959", "pinType": "Religion", "mapRef": "Map Ref.: O14 (GX)", "type": "Temple", "description": "Strathos: God of War, Strength &amp; Courage, Patron of Warriors"},</v>
      </c>
    </row>
    <row r="370" spans="1:14" ht="45" x14ac:dyDescent="0.25">
      <c r="A370" s="7" t="s">
        <v>793</v>
      </c>
      <c r="B370" s="7" t="s">
        <v>1187</v>
      </c>
      <c r="C370" s="6">
        <v>5014</v>
      </c>
      <c r="D370" s="6">
        <v>3328</v>
      </c>
      <c r="E370" s="6" t="str">
        <f>IFERROR(VLOOKUP($A370,tWA[],5,FALSE),"--")</f>
        <v>5010</v>
      </c>
      <c r="F370" s="6" t="str">
        <f>IFERROR(VLOOKUP($A370,tWA[],6,FALSE),"--")</f>
        <v>3858</v>
      </c>
      <c r="G370" s="18" t="s">
        <v>2074</v>
      </c>
      <c r="H370" s="18">
        <f t="shared" si="15"/>
        <v>3934.37</v>
      </c>
      <c r="I370" s="18" t="str">
        <f t="shared" si="16"/>
        <v>3934.37,  5116.327</v>
      </c>
      <c r="J370" s="6" t="s">
        <v>1679</v>
      </c>
      <c r="K370" s="6" t="s">
        <v>794</v>
      </c>
      <c r="L370" s="6" t="s">
        <v>769</v>
      </c>
      <c r="M370" s="11" t="s">
        <v>1395</v>
      </c>
      <c r="N370" s="7" t="str">
        <f t="shared" si="17"/>
        <v>{"name": "Temple of Thalos", "map": "Haven", "fCoords": "5014, 3328", "waCoords": "5010, 3858", "leaflet": "3934.37,  5116.327", "pinType": "Religion", "mapRef": "Map Ref.: Q12 (HL)", "type": "Temple", "description": "Thalos: God of the Night, Patron of Thieves, Lord of Mischief"},</v>
      </c>
    </row>
    <row r="371" spans="1:14" ht="30" x14ac:dyDescent="0.25">
      <c r="A371" s="7" t="s">
        <v>795</v>
      </c>
      <c r="B371" s="7" t="s">
        <v>1187</v>
      </c>
      <c r="C371" s="6">
        <v>4966</v>
      </c>
      <c r="D371" s="6">
        <v>3235</v>
      </c>
      <c r="E371" s="6" t="str">
        <f>IFERROR(VLOOKUP($A371,tWA[],5,FALSE),"--")</f>
        <v>4959</v>
      </c>
      <c r="F371" s="6" t="str">
        <f>IFERROR(VLOOKUP($A371,tWA[],6,FALSE),"--")</f>
        <v>3940</v>
      </c>
      <c r="G371" s="18" t="s">
        <v>2075</v>
      </c>
      <c r="H371" s="18">
        <f t="shared" si="15"/>
        <v>4029.268</v>
      </c>
      <c r="I371" s="18" t="str">
        <f t="shared" si="16"/>
        <v>4029.268,  5067.347</v>
      </c>
      <c r="J371" s="6" t="s">
        <v>1679</v>
      </c>
      <c r="K371" s="6" t="s">
        <v>796</v>
      </c>
      <c r="L371" s="6" t="s">
        <v>769</v>
      </c>
      <c r="N371" s="7" t="str">
        <f t="shared" si="17"/>
        <v>{"name": "Temple of Vairë", "map": "Haven", "fCoords": "4966, 3235", "waCoords": "4959, 3940", "leaflet": "4029.268,  5067.347", "pinType": "Religion", "mapRef": "Map Ref.: Q13 (TY)", "type": "Temple", "description": ""},</v>
      </c>
    </row>
    <row r="372" spans="1:14" ht="30" x14ac:dyDescent="0.25">
      <c r="A372" s="7" t="s">
        <v>797</v>
      </c>
      <c r="B372" s="7" t="s">
        <v>1187</v>
      </c>
      <c r="C372" s="6">
        <v>4356</v>
      </c>
      <c r="D372" s="6">
        <v>3815</v>
      </c>
      <c r="E372" s="6" t="str">
        <f>IFERROR(VLOOKUP($A372,tWA[],5,FALSE),"--")</f>
        <v>--</v>
      </c>
      <c r="F372" s="6" t="str">
        <f>IFERROR(VLOOKUP($A372,tWA[],6,FALSE),"--")</f>
        <v>--</v>
      </c>
      <c r="G372" s="18" t="s">
        <v>2076</v>
      </c>
      <c r="H372" s="18">
        <f t="shared" si="15"/>
        <v>3437.4319999999998</v>
      </c>
      <c r="I372" s="18" t="str">
        <f t="shared" si="16"/>
        <v>3437.432,  4444.898</v>
      </c>
      <c r="J372" s="6" t="s">
        <v>1199</v>
      </c>
      <c r="K372" s="6" t="s">
        <v>798</v>
      </c>
      <c r="L372" s="6" t="s">
        <v>19</v>
      </c>
      <c r="M372" s="11" t="s">
        <v>1226</v>
      </c>
      <c r="N372" s="7" t="str">
        <f t="shared" si="17"/>
        <v>{"name": "Tent of Miranda", "map": "Haven", "fCoords": "4356, 3815", "waCoords": "--, --", "leaflet": "3437.432,  4444.898", "pinType": "Entertainment", "mapRef": "Map Ref.: O11 (RI)", "type": "Brothel", "description": ""},</v>
      </c>
    </row>
    <row r="373" spans="1:14" ht="30" x14ac:dyDescent="0.25">
      <c r="A373" s="7" t="s">
        <v>799</v>
      </c>
      <c r="B373" s="7" t="s">
        <v>1187</v>
      </c>
      <c r="C373" s="6">
        <v>1102</v>
      </c>
      <c r="D373" s="6">
        <v>3969</v>
      </c>
      <c r="E373" s="6" t="str">
        <f>IFERROR(VLOOKUP($A373,tWA[],5,FALSE),"--")</f>
        <v>--</v>
      </c>
      <c r="F373" s="6" t="str">
        <f>IFERROR(VLOOKUP($A373,tWA[],6,FALSE),"--")</f>
        <v>--</v>
      </c>
      <c r="G373" s="18" t="s">
        <v>2077</v>
      </c>
      <c r="H373" s="18">
        <f t="shared" si="15"/>
        <v>3280.2889999999998</v>
      </c>
      <c r="I373" s="18" t="str">
        <f t="shared" si="16"/>
        <v>3280.289,  1124.49</v>
      </c>
      <c r="J373" s="6" t="s">
        <v>1679</v>
      </c>
      <c r="K373" s="6" t="s">
        <v>801</v>
      </c>
      <c r="L373" s="6" t="s">
        <v>800</v>
      </c>
      <c r="M373" s="11" t="s">
        <v>1226</v>
      </c>
      <c r="N373" s="7" t="str">
        <f t="shared" si="17"/>
        <v>{"name": "The Abbey of Eollana", "map": "Haven", "fCoords": "1102, 3969", "waCoords": "--, --", "leaflet": "3280.289,  1124.49", "pinType": "Religion", "mapRef": "Map Ref.: C10 (KX)", "type": "Abbey", "description": ""},</v>
      </c>
    </row>
    <row r="374" spans="1:14" ht="30" x14ac:dyDescent="0.25">
      <c r="A374" s="7" t="s">
        <v>802</v>
      </c>
      <c r="B374" s="7" t="s">
        <v>1187</v>
      </c>
      <c r="C374" s="6">
        <v>1271</v>
      </c>
      <c r="D374" s="6">
        <v>5272</v>
      </c>
      <c r="E374" s="6" t="str">
        <f>IFERROR(VLOOKUP($A374,tWA[],5,FALSE),"--")</f>
        <v>--</v>
      </c>
      <c r="F374" s="6" t="str">
        <f>IFERROR(VLOOKUP($A374,tWA[],6,FALSE),"--")</f>
        <v>--</v>
      </c>
      <c r="G374" s="18" t="s">
        <v>2078</v>
      </c>
      <c r="H374" s="18">
        <f t="shared" si="15"/>
        <v>1950.6969999999999</v>
      </c>
      <c r="I374" s="18" t="str">
        <f t="shared" si="16"/>
        <v>1950.697,  1296.939</v>
      </c>
      <c r="J374" s="6" t="s">
        <v>9</v>
      </c>
      <c r="K374" s="6" t="s">
        <v>803</v>
      </c>
      <c r="L374" s="6" t="s">
        <v>9</v>
      </c>
      <c r="M374" s="11" t="s">
        <v>1226</v>
      </c>
      <c r="N374" s="7" t="str">
        <f t="shared" si="17"/>
        <v>{"name": "The Academy", "map": "Haven", "fCoords": "1271, 5272", "waCoords": "--, --", "leaflet": "1950.697,  1296.939", "pinType": "City Guard", "mapRef": "Map Ref.: D06 (RT)", "type": "City Guard", "description": ""},</v>
      </c>
    </row>
    <row r="375" spans="1:14" ht="30" x14ac:dyDescent="0.25">
      <c r="A375" s="7" t="s">
        <v>804</v>
      </c>
      <c r="B375" s="7" t="s">
        <v>1187</v>
      </c>
      <c r="C375" s="6">
        <v>1947</v>
      </c>
      <c r="D375" s="6">
        <v>2124</v>
      </c>
      <c r="E375" s="6" t="str">
        <f>IFERROR(VLOOKUP($A375,tWA[],5,FALSE),"--")</f>
        <v>1988</v>
      </c>
      <c r="F375" s="6" t="str">
        <f>IFERROR(VLOOKUP($A375,tWA[],6,FALSE),"--")</f>
        <v>5049</v>
      </c>
      <c r="G375" s="18" t="s">
        <v>2079</v>
      </c>
      <c r="H375" s="18">
        <f t="shared" si="15"/>
        <v>5162.942</v>
      </c>
      <c r="I375" s="18" t="str">
        <f t="shared" si="16"/>
        <v>5162.942,  1986.735</v>
      </c>
      <c r="J375" s="6" t="s">
        <v>1197</v>
      </c>
      <c r="K375" s="6" t="s">
        <v>805</v>
      </c>
      <c r="L375" s="6" t="s">
        <v>442</v>
      </c>
      <c r="M375" s="11" t="s">
        <v>1342</v>
      </c>
      <c r="N375" s="7" t="str">
        <f t="shared" si="17"/>
        <v>{"name": "The Aerie", "map": "Haven", "fCoords": "1947, 2124", "waCoords": "1988, 5049", "leaflet": "5162.942,  1986.735", "pinType": "Dining", "mapRef": "Map Ref.: F16 (CD)", "type": "Restaurant", "description": "One of the best dining establishments in the city"},</v>
      </c>
    </row>
    <row r="376" spans="1:14" ht="30" x14ac:dyDescent="0.25">
      <c r="A376" s="7" t="s">
        <v>806</v>
      </c>
      <c r="B376" s="7" t="s">
        <v>1187</v>
      </c>
      <c r="C376" s="6">
        <v>1060</v>
      </c>
      <c r="D376" s="6">
        <v>4729</v>
      </c>
      <c r="E376" s="6" t="str">
        <f>IFERROR(VLOOKUP($A376,tWA[],5,FALSE),"--")</f>
        <v>--</v>
      </c>
      <c r="F376" s="6" t="str">
        <f>IFERROR(VLOOKUP($A376,tWA[],6,FALSE),"--")</f>
        <v>--</v>
      </c>
      <c r="G376" s="18" t="s">
        <v>2080</v>
      </c>
      <c r="H376" s="18">
        <f t="shared" si="15"/>
        <v>2504.779</v>
      </c>
      <c r="I376" s="18" t="str">
        <f t="shared" si="16"/>
        <v>2504.779,  1081.633</v>
      </c>
      <c r="J376" s="6" t="s">
        <v>1204</v>
      </c>
      <c r="K376" s="6" t="s">
        <v>807</v>
      </c>
      <c r="L376" s="6" t="s">
        <v>68</v>
      </c>
      <c r="M376" s="11" t="s">
        <v>1226</v>
      </c>
      <c r="N376" s="7" t="str">
        <f t="shared" si="17"/>
        <v>{"name": "The Arrow's Flight", "map": "Haven", "fCoords": "1060, 4729", "waCoords": "--, --", "leaflet": "2504.779,  1081.633", "pinType": "Inns &amp; Taverns", "mapRef": "Map Ref.: C08 (PK)", "type": "Tavern", "description": ""},</v>
      </c>
    </row>
    <row r="377" spans="1:14" ht="30" x14ac:dyDescent="0.25">
      <c r="A377" s="7" t="s">
        <v>808</v>
      </c>
      <c r="B377" s="7" t="s">
        <v>1187</v>
      </c>
      <c r="C377" s="6">
        <v>995</v>
      </c>
      <c r="D377" s="6">
        <v>4849</v>
      </c>
      <c r="E377" s="6" t="str">
        <f>IFERROR(VLOOKUP($A377,tWA[],5,FALSE),"--")</f>
        <v>--</v>
      </c>
      <c r="F377" s="6" t="str">
        <f>IFERROR(VLOOKUP($A377,tWA[],6,FALSE),"--")</f>
        <v>--</v>
      </c>
      <c r="G377" s="18" t="s">
        <v>2081</v>
      </c>
      <c r="H377" s="18">
        <f t="shared" si="15"/>
        <v>2382.33</v>
      </c>
      <c r="I377" s="18" t="str">
        <f t="shared" si="16"/>
        <v>2382.33,  1015.306</v>
      </c>
      <c r="J377" s="6" t="s">
        <v>1218</v>
      </c>
      <c r="K377" s="6" t="s">
        <v>809</v>
      </c>
      <c r="L377" s="6" t="s">
        <v>78</v>
      </c>
      <c r="M377" s="11" t="s">
        <v>1226</v>
      </c>
      <c r="N377" s="7" t="str">
        <f t="shared" si="17"/>
        <v>{"name": "The Auction Block", "map": "Haven", "fCoords": "995, 4849", "waCoords": "--, --", "leaflet": "2382.33,  1015.306", "pinType": "Shopping", "mapRef": "Map Ref.: C07 (PN)", "type": "Livestock", "description": ""},</v>
      </c>
    </row>
    <row r="378" spans="1:14" ht="30" x14ac:dyDescent="0.25">
      <c r="A378" s="7" t="s">
        <v>810</v>
      </c>
      <c r="B378" s="7" t="s">
        <v>1187</v>
      </c>
      <c r="C378" s="6">
        <v>893</v>
      </c>
      <c r="D378" s="6">
        <v>4870</v>
      </c>
      <c r="E378" s="6" t="str">
        <f>IFERROR(VLOOKUP($A378,tWA[],5,FALSE),"--")</f>
        <v>--</v>
      </c>
      <c r="F378" s="6" t="str">
        <f>IFERROR(VLOOKUP($A378,tWA[],6,FALSE),"--")</f>
        <v>--</v>
      </c>
      <c r="G378" s="18" t="s">
        <v>2082</v>
      </c>
      <c r="H378" s="18">
        <f t="shared" si="15"/>
        <v>2360.9009999999998</v>
      </c>
      <c r="I378" s="18" t="str">
        <f t="shared" si="16"/>
        <v>2360.901,  911.224</v>
      </c>
      <c r="J378" s="6" t="s">
        <v>1218</v>
      </c>
      <c r="K378" s="6" t="s">
        <v>811</v>
      </c>
      <c r="L378" s="6" t="s">
        <v>78</v>
      </c>
      <c r="M378" s="11" t="s">
        <v>1226</v>
      </c>
      <c r="N378" s="7" t="str">
        <f t="shared" si="17"/>
        <v>{"name": "The Auction Pens", "map": "Haven", "fCoords": "893, 4870", "waCoords": "--, --", "leaflet": "2360.901,  911.224", "pinType": "Shopping", "mapRef": "Map Ref.: C07 (PO)", "type": "Livestock", "description": ""},</v>
      </c>
    </row>
    <row r="379" spans="1:14" ht="30" x14ac:dyDescent="0.25">
      <c r="A379" s="7" t="s">
        <v>812</v>
      </c>
      <c r="B379" s="7" t="s">
        <v>1187</v>
      </c>
      <c r="C379" s="6">
        <v>534</v>
      </c>
      <c r="D379" s="6">
        <v>3763</v>
      </c>
      <c r="E379" s="6" t="str">
        <f>IFERROR(VLOOKUP($A379,tWA[],5,FALSE),"--")</f>
        <v>--</v>
      </c>
      <c r="F379" s="6" t="str">
        <f>IFERROR(VLOOKUP($A379,tWA[],6,FALSE),"--")</f>
        <v>--</v>
      </c>
      <c r="G379" s="18" t="s">
        <v>2083</v>
      </c>
      <c r="H379" s="18">
        <f t="shared" si="15"/>
        <v>3490.4929999999999</v>
      </c>
      <c r="I379" s="18" t="str">
        <f t="shared" si="16"/>
        <v>3490.493,  544.898</v>
      </c>
      <c r="J379" s="6" t="s">
        <v>1204</v>
      </c>
      <c r="K379" s="6" t="s">
        <v>813</v>
      </c>
      <c r="L379" s="6" t="s">
        <v>16</v>
      </c>
      <c r="M379" s="11" t="s">
        <v>1226</v>
      </c>
      <c r="N379" s="7" t="str">
        <f t="shared" si="17"/>
        <v>{"name": "The Axe and Anvil", "map": "Haven", "fCoords": "534, 3763", "waCoords": "--, --", "leaflet": "3490.493,  544.898", "pinType": "Inns &amp; Taverns", "mapRef": "Map Ref.: A11 (KK)", "type": "Inn", "description": ""},</v>
      </c>
    </row>
    <row r="380" spans="1:14" ht="30" x14ac:dyDescent="0.25">
      <c r="A380" s="7" t="s">
        <v>814</v>
      </c>
      <c r="B380" s="7" t="s">
        <v>1187</v>
      </c>
      <c r="C380" s="6">
        <v>1697</v>
      </c>
      <c r="D380" s="6">
        <v>3233</v>
      </c>
      <c r="E380" s="6" t="str">
        <f>IFERROR(VLOOKUP($A380,tWA[],5,FALSE),"--")</f>
        <v>--</v>
      </c>
      <c r="F380" s="6" t="str">
        <f>IFERROR(VLOOKUP($A380,tWA[],6,FALSE),"--")</f>
        <v>--</v>
      </c>
      <c r="G380" s="18" t="s">
        <v>2084</v>
      </c>
      <c r="H380" s="18">
        <f t="shared" si="15"/>
        <v>4031.3089999999997</v>
      </c>
      <c r="I380" s="18" t="str">
        <f t="shared" si="16"/>
        <v>4031.309,  1731.633</v>
      </c>
      <c r="J380" s="6" t="s">
        <v>1204</v>
      </c>
      <c r="K380" s="6" t="s">
        <v>815</v>
      </c>
      <c r="L380" s="6" t="s">
        <v>16</v>
      </c>
      <c r="M380" s="11" t="s">
        <v>1226</v>
      </c>
      <c r="N380" s="7" t="str">
        <f t="shared" si="17"/>
        <v>{"name": "The Bandersnatch Inn", "map": "Haven", "fCoords": "1697, 3233", "waCoords": "--, --", "leaflet": "4031.309,  1731.633", "pinType": "Inns &amp; Taverns", "mapRef": "Map Ref.: E13 (IN)", "type": "Inn", "description": ""},</v>
      </c>
    </row>
    <row r="381" spans="1:14" ht="30" x14ac:dyDescent="0.25">
      <c r="A381" s="7" t="s">
        <v>816</v>
      </c>
      <c r="B381" s="7" t="s">
        <v>1187</v>
      </c>
      <c r="C381" s="6">
        <v>3056</v>
      </c>
      <c r="D381" s="6">
        <v>5626</v>
      </c>
      <c r="E381" s="6" t="str">
        <f>IFERROR(VLOOKUP($A381,tWA[],5,FALSE),"--")</f>
        <v>1030</v>
      </c>
      <c r="F381" s="6" t="str">
        <f>IFERROR(VLOOKUP($A381,tWA[],6,FALSE),"--")</f>
        <v>605</v>
      </c>
      <c r="G381" s="18" t="s">
        <v>2085</v>
      </c>
      <c r="H381" s="18">
        <f t="shared" si="15"/>
        <v>1589.472</v>
      </c>
      <c r="I381" s="18" t="str">
        <f t="shared" si="16"/>
        <v>1589.472,  3118.367</v>
      </c>
      <c r="J381" s="6" t="s">
        <v>1204</v>
      </c>
      <c r="K381" s="6" t="s">
        <v>817</v>
      </c>
      <c r="L381" s="6" t="s">
        <v>68</v>
      </c>
      <c r="N381" s="7" t="str">
        <f t="shared" si="17"/>
        <v>{"name": "The Bar None", "map": "Haven", "fCoords": "3056, 5626", "waCoords": "1030, 605", "leaflet": "1589.472,  3118.367", "pinType": "Inns &amp; Taverns", "mapRef": "Map Ref.: J05 (QS)", "type": "Tavern", "description": ""},</v>
      </c>
    </row>
    <row r="382" spans="1:14" ht="30" x14ac:dyDescent="0.25">
      <c r="A382" s="7" t="s">
        <v>818</v>
      </c>
      <c r="B382" s="7" t="s">
        <v>1187</v>
      </c>
      <c r="C382" s="6">
        <v>3859</v>
      </c>
      <c r="D382" s="6">
        <v>6110</v>
      </c>
      <c r="E382" s="6" t="str">
        <f>IFERROR(VLOOKUP($A382,tWA[],5,FALSE),"--")</f>
        <v>--</v>
      </c>
      <c r="F382" s="6" t="str">
        <f>IFERROR(VLOOKUP($A382,tWA[],6,FALSE),"--")</f>
        <v>--</v>
      </c>
      <c r="G382" s="18" t="s">
        <v>2086</v>
      </c>
      <c r="H382" s="18">
        <f t="shared" si="15"/>
        <v>1095.5949999999998</v>
      </c>
      <c r="I382" s="18" t="str">
        <f t="shared" si="16"/>
        <v>1095.595,  3937.755</v>
      </c>
      <c r="J382" s="6" t="s">
        <v>1218</v>
      </c>
      <c r="K382" s="6" t="s">
        <v>819</v>
      </c>
      <c r="L382" s="6" t="s">
        <v>54</v>
      </c>
      <c r="M382" s="11" t="s">
        <v>1226</v>
      </c>
      <c r="N382" s="7" t="str">
        <f t="shared" si="17"/>
        <v>{"name": "The Bargain Barn", "map": "Haven", "fCoords": "3859, 6110", "waCoords": "--, --", "leaflet": "1095.595,  3937.755", "pinType": "Shopping", "mapRef": "Map Ref.: M03 (FE)", "type": "General Goods", "description": ""},</v>
      </c>
    </row>
    <row r="383" spans="1:14" ht="30" x14ac:dyDescent="0.25">
      <c r="A383" s="7" t="s">
        <v>820</v>
      </c>
      <c r="B383" s="7" t="s">
        <v>1187</v>
      </c>
      <c r="C383" s="6">
        <v>2506</v>
      </c>
      <c r="D383" s="6">
        <v>5940</v>
      </c>
      <c r="E383" s="6" t="str">
        <f>IFERROR(VLOOKUP($A383,tWA[],5,FALSE),"--")</f>
        <v>--</v>
      </c>
      <c r="F383" s="6" t="str">
        <f>IFERROR(VLOOKUP($A383,tWA[],6,FALSE),"--")</f>
        <v>--</v>
      </c>
      <c r="G383" s="18" t="s">
        <v>2087</v>
      </c>
      <c r="H383" s="18">
        <f t="shared" si="15"/>
        <v>1269.0639999999999</v>
      </c>
      <c r="I383" s="18" t="str">
        <f t="shared" si="16"/>
        <v>1269.064,  2557.143</v>
      </c>
      <c r="J383" s="6" t="s">
        <v>1218</v>
      </c>
      <c r="K383" s="6" t="s">
        <v>821</v>
      </c>
      <c r="L383" s="6" t="s">
        <v>244</v>
      </c>
      <c r="M383" s="11" t="s">
        <v>1226</v>
      </c>
      <c r="N383" s="7" t="str">
        <f t="shared" si="17"/>
        <v>{"name": "The Barn", "map": "Haven", "fCoords": "2506, 5940", "waCoords": "--, --", "leaflet": "1269.064,  2557.143", "pinType": "Shopping", "mapRef": "Map Ref.: H04 (TS)", "type": "Livery", "description": ""},</v>
      </c>
    </row>
    <row r="384" spans="1:14" ht="30" x14ac:dyDescent="0.25">
      <c r="A384" s="7" t="s">
        <v>822</v>
      </c>
      <c r="B384" s="7" t="s">
        <v>1187</v>
      </c>
      <c r="C384" s="6">
        <v>2935</v>
      </c>
      <c r="D384" s="6">
        <v>4036</v>
      </c>
      <c r="E384" s="6" t="str">
        <f>IFERROR(VLOOKUP($A384,tWA[],5,FALSE),"--")</f>
        <v>--</v>
      </c>
      <c r="F384" s="6" t="str">
        <f>IFERROR(VLOOKUP($A384,tWA[],6,FALSE),"--")</f>
        <v>--</v>
      </c>
      <c r="G384" s="18" t="s">
        <v>2088</v>
      </c>
      <c r="H384" s="18">
        <f t="shared" si="15"/>
        <v>3211.9209999999998</v>
      </c>
      <c r="I384" s="18" t="str">
        <f t="shared" si="16"/>
        <v>3211.921,  2994.898</v>
      </c>
      <c r="J384" s="6" t="s">
        <v>1204</v>
      </c>
      <c r="K384" s="6" t="s">
        <v>823</v>
      </c>
      <c r="L384" s="6" t="s">
        <v>68</v>
      </c>
      <c r="M384" s="11" t="s">
        <v>1226</v>
      </c>
      <c r="N384" s="7" t="str">
        <f t="shared" si="17"/>
        <v>{"name": "The Bent Page", "map": "Haven", "fCoords": "2935, 4036", "waCoords": "--, --", "leaflet": "3211.921,  2994.898", "pinType": "Inns &amp; Taverns", "mapRef": "Map Ref.: J10 (JG)", "type": "Tavern", "description": ""},</v>
      </c>
    </row>
    <row r="385" spans="1:14" ht="30" x14ac:dyDescent="0.25">
      <c r="A385" s="7" t="s">
        <v>824</v>
      </c>
      <c r="B385" s="7" t="s">
        <v>1187</v>
      </c>
      <c r="C385" s="6">
        <v>4369</v>
      </c>
      <c r="D385" s="6">
        <v>2314</v>
      </c>
      <c r="E385" s="6" t="str">
        <f>IFERROR(VLOOKUP($A385,tWA[],5,FALSE),"--")</f>
        <v>--</v>
      </c>
      <c r="F385" s="6" t="str">
        <f>IFERROR(VLOOKUP($A385,tWA[],6,FALSE),"--")</f>
        <v>--</v>
      </c>
      <c r="G385" s="18" t="s">
        <v>2089</v>
      </c>
      <c r="H385" s="18">
        <f t="shared" si="15"/>
        <v>4969.0640000000003</v>
      </c>
      <c r="I385" s="18" t="str">
        <f t="shared" si="16"/>
        <v>4969.064,  4458.163</v>
      </c>
      <c r="J385" s="6" t="s">
        <v>338</v>
      </c>
      <c r="K385" s="6" t="s">
        <v>826</v>
      </c>
      <c r="L385" s="6" t="s">
        <v>825</v>
      </c>
      <c r="M385" s="11" t="s">
        <v>1226</v>
      </c>
      <c r="N385" s="7" t="str">
        <f t="shared" si="17"/>
        <v>{"name": "The Black Halls", "map": "Haven", "fCoords": "4369, 2314", "waCoords": "--, --", "leaflet": "4969.064,  4458.163", "pinType": "Government", "mapRef": "Map Ref.: O16 (GL)", "type": "Prison", "description": ""},</v>
      </c>
    </row>
    <row r="386" spans="1:14" ht="45" x14ac:dyDescent="0.25">
      <c r="A386" s="7" t="s">
        <v>827</v>
      </c>
      <c r="B386" s="7" t="s">
        <v>1187</v>
      </c>
      <c r="C386" s="6">
        <v>5776</v>
      </c>
      <c r="D386" s="6">
        <v>2476</v>
      </c>
      <c r="E386" s="6" t="str">
        <f>IFERROR(VLOOKUP($A386,tWA[],5,FALSE),"--")</f>
        <v>5778</v>
      </c>
      <c r="F386" s="6" t="str">
        <f>IFERROR(VLOOKUP($A386,tWA[],6,FALSE),"--")</f>
        <v>4702</v>
      </c>
      <c r="G386" s="18" t="s">
        <v>2090</v>
      </c>
      <c r="H386" s="18">
        <f t="shared" si="15"/>
        <v>4803.7580000000007</v>
      </c>
      <c r="I386" s="18" t="str">
        <f t="shared" si="16"/>
        <v>4803.758,  5893.878</v>
      </c>
      <c r="J386" s="6" t="s">
        <v>1204</v>
      </c>
      <c r="K386" s="6" t="s">
        <v>828</v>
      </c>
      <c r="L386" s="6" t="s">
        <v>16</v>
      </c>
      <c r="M386" s="11" t="s">
        <v>1363</v>
      </c>
      <c r="N386" s="7" t="str">
        <f t="shared" si="17"/>
        <v>{"name": "The Black Swan", "map": "Haven", "fCoords": "5776, 2476", "waCoords": "5778, 4702", "leaflet": "4803.758,  5893.878", "pinType": "Inns &amp; Taverns", "mapRef": "Map Ref.: T15 (SA)", "type": "Inn", "description": "One of the more well known inns/taverns in haven"},</v>
      </c>
    </row>
    <row r="387" spans="1:14" ht="30" x14ac:dyDescent="0.25">
      <c r="A387" s="7" t="s">
        <v>829</v>
      </c>
      <c r="B387" s="7" t="s">
        <v>1187</v>
      </c>
      <c r="C387" s="6">
        <v>3769</v>
      </c>
      <c r="D387" s="6">
        <v>4936</v>
      </c>
      <c r="E387" s="6" t="str">
        <f>IFERROR(VLOOKUP($A387,tWA[],5,FALSE),"--")</f>
        <v>--</v>
      </c>
      <c r="F387" s="6" t="str">
        <f>IFERROR(VLOOKUP($A387,tWA[],6,FALSE),"--")</f>
        <v>--</v>
      </c>
      <c r="G387" s="18" t="s">
        <v>2091</v>
      </c>
      <c r="H387" s="18">
        <f t="shared" si="15"/>
        <v>2293.5540000000001</v>
      </c>
      <c r="I387" s="18" t="str">
        <f t="shared" si="16"/>
        <v>2293.554,  3845.918</v>
      </c>
      <c r="J387" s="6" t="s">
        <v>1199</v>
      </c>
      <c r="K387" s="6" t="s">
        <v>830</v>
      </c>
      <c r="L387" s="6" t="s">
        <v>19</v>
      </c>
      <c r="M387" s="11" t="s">
        <v>1226</v>
      </c>
      <c r="N387" s="7" t="str">
        <f t="shared" si="17"/>
        <v>{"name": "The Black Whip", "map": "Haven", "fCoords": "3769, 4936", "waCoords": "--, --", "leaflet": "2293.554,  3845.918", "pinType": "Entertainment", "mapRef": "Map Ref.: M07 (DU)", "type": "Brothel", "description": ""},</v>
      </c>
    </row>
    <row r="388" spans="1:14" ht="30" x14ac:dyDescent="0.25">
      <c r="A388" s="7" t="s">
        <v>831</v>
      </c>
      <c r="B388" s="7" t="s">
        <v>1187</v>
      </c>
      <c r="C388" s="6">
        <v>3615</v>
      </c>
      <c r="D388" s="6">
        <v>4656</v>
      </c>
      <c r="E388" s="6" t="str">
        <f>IFERROR(VLOOKUP($A388,tWA[],5,FALSE),"--")</f>
        <v>3596</v>
      </c>
      <c r="F388" s="6" t="str">
        <f>IFERROR(VLOOKUP($A388,tWA[],6,FALSE),"--")</f>
        <v>2517</v>
      </c>
      <c r="G388" s="18" t="s">
        <v>2092</v>
      </c>
      <c r="H388" s="18">
        <f t="shared" ref="H388:H451" si="18">VALUE(_xlfn.TEXTBEFORE(G388,","))- 16.65</f>
        <v>2579.268</v>
      </c>
      <c r="I388" s="18" t="str">
        <f t="shared" ref="I388:I451" si="19">TEXT(H388, "####.###") &amp; ", " &amp; _xlfn.TEXTAFTER(G388,",")</f>
        <v>2579.268,  3688.776</v>
      </c>
      <c r="J388" s="6" t="s">
        <v>1197</v>
      </c>
      <c r="K388" s="6" t="s">
        <v>832</v>
      </c>
      <c r="L388" s="6" t="s">
        <v>442</v>
      </c>
      <c r="M388" s="11" t="s">
        <v>1343</v>
      </c>
      <c r="N388" s="7" t="str">
        <f t="shared" ref="N388:N451" si="20">"{""name"": """&amp;A388&amp;""", " &amp;
"""map"": """&amp;B388&amp;""", " &amp;
"""fCoords"": """&amp;C388&amp;", "&amp;D388&amp;""", " &amp;
"""waCoords"": """&amp;E388&amp;", "&amp;F388&amp;""", " &amp;
"""leaflet"": """ &amp; I388 &amp; """, " &amp;
"""pinType"": """ &amp; J388 &amp; """, " &amp;
"""mapRef"": """ &amp; K388 &amp; """, " &amp;
"""type"": """ &amp; L388 &amp; """, " &amp;
"""description"": """ &amp; M388 &amp; """},"</f>
        <v>{"name": "The Blue Harper", "map": "Haven", "fCoords": "3615, 4656", "waCoords": "3596, 2517", "leaflet": "2579.268,  3688.776", "pinType": "Dining", "mapRef": "Map Ref.: L08 (TN)", "type": "Restaurant", "description": "One of the finer placest to eat in the city"},</v>
      </c>
    </row>
    <row r="389" spans="1:14" ht="30" x14ac:dyDescent="0.25">
      <c r="A389" s="7" t="s">
        <v>833</v>
      </c>
      <c r="B389" s="7" t="s">
        <v>1187</v>
      </c>
      <c r="C389" s="6">
        <v>3872</v>
      </c>
      <c r="D389" s="6">
        <v>5006</v>
      </c>
      <c r="E389" s="6" t="str">
        <f>IFERROR(VLOOKUP($A389,tWA[],5,FALSE),"--")</f>
        <v>--</v>
      </c>
      <c r="F389" s="6" t="str">
        <f>IFERROR(VLOOKUP($A389,tWA[],6,FALSE),"--")</f>
        <v>--</v>
      </c>
      <c r="G389" s="18" t="s">
        <v>2093</v>
      </c>
      <c r="H389" s="18">
        <f t="shared" si="18"/>
        <v>2222.1259999999997</v>
      </c>
      <c r="I389" s="18" t="str">
        <f t="shared" si="19"/>
        <v>2222.126,  3951.02</v>
      </c>
      <c r="J389" s="6" t="s">
        <v>1199</v>
      </c>
      <c r="K389" s="6" t="s">
        <v>834</v>
      </c>
      <c r="L389" s="6" t="s">
        <v>19</v>
      </c>
      <c r="M389" s="11" t="s">
        <v>1226</v>
      </c>
      <c r="N389" s="7" t="str">
        <f t="shared" si="20"/>
        <v>{"name": "The Blue Lantern", "map": "Haven", "fCoords": "3872, 5006", "waCoords": "--, --", "leaflet": "2222.126,  3951.02", "pinType": "Entertainment", "mapRef": "Map Ref.: M07 (DG)", "type": "Brothel", "description": ""},</v>
      </c>
    </row>
    <row r="390" spans="1:14" ht="30" x14ac:dyDescent="0.25">
      <c r="A390" s="7" t="s">
        <v>835</v>
      </c>
      <c r="B390" s="7" t="s">
        <v>1187</v>
      </c>
      <c r="C390" s="6">
        <v>4730</v>
      </c>
      <c r="D390" s="6">
        <v>5930</v>
      </c>
      <c r="E390" s="6" t="str">
        <f>IFERROR(VLOOKUP($A390,tWA[],5,FALSE),"--")</f>
        <v>--</v>
      </c>
      <c r="F390" s="6" t="str">
        <f>IFERROR(VLOOKUP($A390,tWA[],6,FALSE),"--")</f>
        <v>--</v>
      </c>
      <c r="G390" s="18" t="s">
        <v>2094</v>
      </c>
      <c r="H390" s="18">
        <f t="shared" si="18"/>
        <v>1279.2679999999998</v>
      </c>
      <c r="I390" s="18" t="str">
        <f t="shared" si="19"/>
        <v>1279.268,  4826.531</v>
      </c>
      <c r="J390" s="6" t="s">
        <v>1204</v>
      </c>
      <c r="K390" s="6" t="s">
        <v>836</v>
      </c>
      <c r="L390" s="6" t="s">
        <v>68</v>
      </c>
      <c r="M390" s="11" t="s">
        <v>1226</v>
      </c>
      <c r="N390" s="7" t="str">
        <f t="shared" si="20"/>
        <v>{"name": "The Blue Moon Tavern", "map": "Haven", "fCoords": "4730, 5930", "waCoords": "--, --", "leaflet": "1279.268,  4826.531", "pinType": "Inns &amp; Taverns", "mapRef": "Map Ref.: P04 (SX)", "type": "Tavern", "description": ""},</v>
      </c>
    </row>
    <row r="391" spans="1:14" ht="30" x14ac:dyDescent="0.25">
      <c r="A391" s="7" t="s">
        <v>837</v>
      </c>
      <c r="B391" s="7" t="s">
        <v>1187</v>
      </c>
      <c r="C391" s="6">
        <v>2768</v>
      </c>
      <c r="D391" s="6">
        <v>5465</v>
      </c>
      <c r="E391" s="6" t="str">
        <f>IFERROR(VLOOKUP($A391,tWA[],5,FALSE),"--")</f>
        <v>39</v>
      </c>
      <c r="F391" s="6" t="str">
        <f>IFERROR(VLOOKUP($A391,tWA[],6,FALSE),"--")</f>
        <v>1238</v>
      </c>
      <c r="G391" s="18" t="s">
        <v>2095</v>
      </c>
      <c r="H391" s="18">
        <f t="shared" si="18"/>
        <v>1753.7579999999998</v>
      </c>
      <c r="I391" s="18" t="str">
        <f t="shared" si="19"/>
        <v>1753.758,  2824.49</v>
      </c>
      <c r="J391" s="6" t="s">
        <v>1204</v>
      </c>
      <c r="K391" s="6" t="s">
        <v>838</v>
      </c>
      <c r="L391" s="6" t="s">
        <v>16</v>
      </c>
      <c r="N391" s="7" t="str">
        <f t="shared" si="20"/>
        <v>{"name": "The Boar's Head", "map": "Haven", "fCoords": "2768, 5465", "waCoords": "39, 1238", "leaflet": "1753.758,  2824.49", "pinType": "Inns &amp; Taverns", "mapRef": "Map Ref.: I05 (OU)", "type": "Inn", "description": ""},</v>
      </c>
    </row>
    <row r="392" spans="1:14" ht="30" x14ac:dyDescent="0.25">
      <c r="A392" s="7" t="s">
        <v>839</v>
      </c>
      <c r="B392" s="7" t="s">
        <v>1187</v>
      </c>
      <c r="C392" s="6">
        <v>2085</v>
      </c>
      <c r="D392" s="6">
        <v>3954</v>
      </c>
      <c r="E392" s="6" t="str">
        <f>IFERROR(VLOOKUP($A392,tWA[],5,FALSE),"--")</f>
        <v>--</v>
      </c>
      <c r="F392" s="6" t="str">
        <f>IFERROR(VLOOKUP($A392,tWA[],6,FALSE),"--")</f>
        <v>--</v>
      </c>
      <c r="G392" s="18" t="s">
        <v>2096</v>
      </c>
      <c r="H392" s="18">
        <f t="shared" si="18"/>
        <v>3295.5949999999998</v>
      </c>
      <c r="I392" s="18" t="str">
        <f t="shared" si="19"/>
        <v>3295.595,  2127.551</v>
      </c>
      <c r="J392" s="6" t="s">
        <v>1218</v>
      </c>
      <c r="K392" s="6" t="s">
        <v>840</v>
      </c>
      <c r="L392" s="6" t="s">
        <v>306</v>
      </c>
      <c r="M392" s="11" t="s">
        <v>1226</v>
      </c>
      <c r="N392" s="7" t="str">
        <f t="shared" si="20"/>
        <v>{"name": "The Bookworm", "map": "Haven", "fCoords": "2085, 3954", "waCoords": "--, --", "leaflet": "3295.595,  2127.551", "pinType": "Shopping", "mapRef": "Map Ref.: G10 (JZ)", "type": "Written Word", "description": ""},</v>
      </c>
    </row>
    <row r="393" spans="1:14" ht="30" x14ac:dyDescent="0.25">
      <c r="A393" s="7" t="s">
        <v>841</v>
      </c>
      <c r="B393" s="7" t="s">
        <v>1187</v>
      </c>
      <c r="C393" s="6">
        <v>4238</v>
      </c>
      <c r="D393" s="6">
        <v>4550</v>
      </c>
      <c r="E393" s="6" t="str">
        <f>IFERROR(VLOOKUP($A393,tWA[],5,FALSE),"--")</f>
        <v>--</v>
      </c>
      <c r="F393" s="6" t="str">
        <f>IFERROR(VLOOKUP($A393,tWA[],6,FALSE),"--")</f>
        <v>--</v>
      </c>
      <c r="G393" s="18" t="s">
        <v>2097</v>
      </c>
      <c r="H393" s="18">
        <f t="shared" si="18"/>
        <v>2687.4319999999998</v>
      </c>
      <c r="I393" s="18" t="str">
        <f t="shared" si="19"/>
        <v>2687.432,  4324.49</v>
      </c>
      <c r="J393" s="6" t="s">
        <v>1204</v>
      </c>
      <c r="K393" s="6" t="s">
        <v>842</v>
      </c>
      <c r="L393" s="6" t="s">
        <v>68</v>
      </c>
      <c r="M393" s="11" t="s">
        <v>1226</v>
      </c>
      <c r="N393" s="7" t="str">
        <f t="shared" si="20"/>
        <v>{"name": "The Brass Blade", "map": "Haven", "fCoords": "4238, 4550", "waCoords": "--, --", "leaflet": "2687.432,  4324.49", "pinType": "Inns &amp; Taverns", "mapRef": "Map Ref.: N08 (TZ)", "type": "Tavern", "description": ""},</v>
      </c>
    </row>
    <row r="394" spans="1:14" ht="30" x14ac:dyDescent="0.25">
      <c r="A394" s="7" t="s">
        <v>843</v>
      </c>
      <c r="B394" s="7" t="s">
        <v>1187</v>
      </c>
      <c r="C394" s="6">
        <v>3689</v>
      </c>
      <c r="D394" s="6">
        <v>5913</v>
      </c>
      <c r="E394" s="6" t="str">
        <f>IFERROR(VLOOKUP($A394,tWA[],5,FALSE),"--")</f>
        <v>--</v>
      </c>
      <c r="F394" s="6" t="str">
        <f>IFERROR(VLOOKUP($A394,tWA[],6,FALSE),"--")</f>
        <v>--</v>
      </c>
      <c r="G394" s="18" t="s">
        <v>2098</v>
      </c>
      <c r="H394" s="18">
        <f t="shared" si="18"/>
        <v>1296.615</v>
      </c>
      <c r="I394" s="18" t="str">
        <f t="shared" si="19"/>
        <v>1296.615,  3764.286</v>
      </c>
      <c r="J394" s="6" t="s">
        <v>70</v>
      </c>
      <c r="K394" s="6" t="s">
        <v>844</v>
      </c>
      <c r="L394" s="6" t="s">
        <v>117</v>
      </c>
      <c r="M394" s="11" t="s">
        <v>1226</v>
      </c>
      <c r="N394" s="7" t="str">
        <f t="shared" si="20"/>
        <v>{"name": "The Briarthorn Inn", "map": "Haven", "fCoords": "3689, 5913", "waCoords": "--, --", "leaflet": "1296.615,  3764.286", "pinType": "Residence", "mapRef": "Map Ref.: L04 (FJ)", "type": "Rooming House", "description": ""},</v>
      </c>
    </row>
    <row r="395" spans="1:14" ht="45" x14ac:dyDescent="0.25">
      <c r="A395" s="7" t="s">
        <v>845</v>
      </c>
      <c r="B395" s="7" t="s">
        <v>1187</v>
      </c>
      <c r="C395" s="6">
        <v>4867</v>
      </c>
      <c r="D395" s="6">
        <v>6251</v>
      </c>
      <c r="E395" s="6" t="str">
        <f>IFERROR(VLOOKUP($A395,tWA[],5,FALSE),"--")</f>
        <v>4857</v>
      </c>
      <c r="F395" s="6" t="str">
        <f>IFERROR(VLOOKUP($A395,tWA[],6,FALSE),"--")</f>
        <v>921</v>
      </c>
      <c r="G395" s="18" t="s">
        <v>2099</v>
      </c>
      <c r="H395" s="18">
        <f t="shared" si="18"/>
        <v>951.71699999999998</v>
      </c>
      <c r="I395" s="18" t="str">
        <f t="shared" si="19"/>
        <v>951.717,  4966.327</v>
      </c>
      <c r="J395" s="6" t="s">
        <v>1678</v>
      </c>
      <c r="K395" s="6" t="s">
        <v>846</v>
      </c>
      <c r="L395" s="6" t="s">
        <v>123</v>
      </c>
      <c r="M395" s="11" t="s">
        <v>1375</v>
      </c>
      <c r="N395" s="7" t="str">
        <f t="shared" si="20"/>
        <v>{"name": "The Bronze Rat Memorial", "map": "Haven", "fCoords": "4867, 6251", "waCoords": "4857, 921", "leaflet": "951.717,  4966.327", "pinType": "Landmark", "mapRef": "Map Ref.: P03 (FP)", "type": "Monument", "description": "The statue of a rat, a memorial to who knows what."},</v>
      </c>
    </row>
    <row r="396" spans="1:14" ht="30" x14ac:dyDescent="0.25">
      <c r="A396" s="7" t="s">
        <v>847</v>
      </c>
      <c r="B396" s="7" t="s">
        <v>1187</v>
      </c>
      <c r="C396" s="6">
        <v>3293</v>
      </c>
      <c r="D396" s="6">
        <v>3085</v>
      </c>
      <c r="E396" s="6" t="str">
        <f>IFERROR(VLOOKUP($A396,tWA[],5,FALSE),"--")</f>
        <v>3309</v>
      </c>
      <c r="F396" s="6" t="str">
        <f>IFERROR(VLOOKUP($A396,tWA[],6,FALSE),"--")</f>
        <v>4111</v>
      </c>
      <c r="G396" s="18" t="s">
        <v>2100</v>
      </c>
      <c r="H396" s="18">
        <f t="shared" si="18"/>
        <v>4182.33</v>
      </c>
      <c r="I396" s="18" t="str">
        <f t="shared" si="19"/>
        <v>4182.33,  3360.204</v>
      </c>
      <c r="J396" s="6" t="s">
        <v>338</v>
      </c>
      <c r="K396" s="6" t="s">
        <v>848</v>
      </c>
      <c r="L396" s="6" t="s">
        <v>338</v>
      </c>
      <c r="M396" s="11" t="s">
        <v>1376</v>
      </c>
      <c r="N396" s="7" t="str">
        <f t="shared" si="20"/>
        <v>{"name": "The Citadel", "map": "Haven", "fCoords": "3293, 3085", "waCoords": "3309, 4111", "leaflet": "4182.33,  3360.204", "pinType": "Government", "mapRef": "Map Ref.: K13 (RE)", "type": "Government", "description": "The ceremonial center of Haven. "},</v>
      </c>
    </row>
    <row r="397" spans="1:14" ht="30" x14ac:dyDescent="0.25">
      <c r="A397" s="7" t="s">
        <v>849</v>
      </c>
      <c r="B397" s="7" t="s">
        <v>1187</v>
      </c>
      <c r="C397" s="6">
        <v>2423</v>
      </c>
      <c r="D397" s="6">
        <v>4996</v>
      </c>
      <c r="E397" s="6" t="str">
        <f>IFERROR(VLOOKUP($A397,tWA[],5,FALSE),"--")</f>
        <v>--</v>
      </c>
      <c r="F397" s="6" t="str">
        <f>IFERROR(VLOOKUP($A397,tWA[],6,FALSE),"--")</f>
        <v>--</v>
      </c>
      <c r="G397" s="18" t="s">
        <v>2101</v>
      </c>
      <c r="H397" s="18">
        <f t="shared" si="18"/>
        <v>2232.33</v>
      </c>
      <c r="I397" s="18" t="str">
        <f t="shared" si="19"/>
        <v>2232.33,  2472.449</v>
      </c>
      <c r="J397" s="6" t="s">
        <v>1678</v>
      </c>
      <c r="K397" s="6" t="s">
        <v>850</v>
      </c>
      <c r="L397" s="6" t="s">
        <v>87</v>
      </c>
      <c r="M397" s="11" t="s">
        <v>1226</v>
      </c>
      <c r="N397" s="7" t="str">
        <f t="shared" si="20"/>
        <v>{"name": "The Cleff", "map": "Haven", "fCoords": "2423, 4996", "waCoords": "--, --", "leaflet": "2232.33,  2472.449", "pinType": "Landmark", "mapRef": "Map Ref.: H07 (ME)", "type": "Street", "description": ""},</v>
      </c>
    </row>
    <row r="398" spans="1:14" ht="30" x14ac:dyDescent="0.25">
      <c r="A398" s="7" t="s">
        <v>851</v>
      </c>
      <c r="B398" s="7" t="s">
        <v>1187</v>
      </c>
      <c r="C398" s="6">
        <v>990</v>
      </c>
      <c r="D398" s="6">
        <v>3056</v>
      </c>
      <c r="E398" s="6" t="str">
        <f>IFERROR(VLOOKUP($A398,tWA[],5,FALSE),"--")</f>
        <v>--</v>
      </c>
      <c r="F398" s="6" t="str">
        <f>IFERROR(VLOOKUP($A398,tWA[],6,FALSE),"--")</f>
        <v>--</v>
      </c>
      <c r="G398" s="18" t="s">
        <v>2102</v>
      </c>
      <c r="H398" s="18">
        <f t="shared" si="18"/>
        <v>4211.9210000000003</v>
      </c>
      <c r="I398" s="18" t="str">
        <f t="shared" si="19"/>
        <v>4211.921,  1010.204</v>
      </c>
      <c r="J398" s="6" t="s">
        <v>1218</v>
      </c>
      <c r="K398" s="6" t="s">
        <v>852</v>
      </c>
      <c r="L398" s="6" t="s">
        <v>62</v>
      </c>
      <c r="M398" s="11" t="s">
        <v>1226</v>
      </c>
      <c r="N398" s="7" t="str">
        <f t="shared" si="20"/>
        <v>{"name": "The Clothes Closet", "map": "Haven", "fCoords": "990, 3056", "waCoords": "--, --", "leaflet": "4211.921,  1010.204", "pinType": "Shopping", "mapRef": "Map Ref.: C13 (ID)", "type": "General Clothing", "description": ""},</v>
      </c>
    </row>
    <row r="399" spans="1:14" ht="30" x14ac:dyDescent="0.25">
      <c r="A399" s="7" t="s">
        <v>853</v>
      </c>
      <c r="B399" s="7" t="s">
        <v>1187</v>
      </c>
      <c r="C399" s="6">
        <v>2045</v>
      </c>
      <c r="D399" s="6">
        <v>5422</v>
      </c>
      <c r="E399" s="6" t="str">
        <f>IFERROR(VLOOKUP($A399,tWA[],5,FALSE),"--")</f>
        <v>--</v>
      </c>
      <c r="F399" s="6" t="str">
        <f>IFERROR(VLOOKUP($A399,tWA[],6,FALSE),"--")</f>
        <v>--</v>
      </c>
      <c r="G399" s="18" t="s">
        <v>2103</v>
      </c>
      <c r="H399" s="18">
        <f t="shared" si="18"/>
        <v>1797.636</v>
      </c>
      <c r="I399" s="18" t="str">
        <f t="shared" si="19"/>
        <v>1797.636,  2086.735</v>
      </c>
      <c r="J399" s="6" t="s">
        <v>1199</v>
      </c>
      <c r="K399" s="6" t="s">
        <v>854</v>
      </c>
      <c r="L399" s="6" t="s">
        <v>630</v>
      </c>
      <c r="M399" s="11" t="s">
        <v>1226</v>
      </c>
      <c r="N399" s="7" t="str">
        <f t="shared" si="20"/>
        <v>{"name": "The Cock and Bull", "map": "Haven", "fCoords": "2045, 5422", "waCoords": "--, --", "leaflet": "1797.636,  2086.735", "pinType": "Entertainment", "mapRef": "Map Ref.: G05 (OY)", "type": "Gaming", "description": ""},</v>
      </c>
    </row>
    <row r="400" spans="1:14" ht="30" x14ac:dyDescent="0.25">
      <c r="A400" s="7" t="s">
        <v>855</v>
      </c>
      <c r="B400" s="7" t="s">
        <v>1187</v>
      </c>
      <c r="C400" s="6">
        <v>3060</v>
      </c>
      <c r="D400" s="6">
        <v>5673</v>
      </c>
      <c r="E400" s="6" t="str">
        <f>IFERROR(VLOOKUP($A400,tWA[],5,FALSE),"--")</f>
        <v>1029</v>
      </c>
      <c r="F400" s="6" t="str">
        <f>IFERROR(VLOOKUP($A400,tWA[],6,FALSE),"--")</f>
        <v>414</v>
      </c>
      <c r="G400" s="18" t="s">
        <v>2104</v>
      </c>
      <c r="H400" s="18">
        <f t="shared" si="18"/>
        <v>1541.5129999999999</v>
      </c>
      <c r="I400" s="18" t="str">
        <f t="shared" si="19"/>
        <v>1541.513,  3122.449</v>
      </c>
      <c r="J400" s="6" t="s">
        <v>1204</v>
      </c>
      <c r="K400" s="6" t="s">
        <v>856</v>
      </c>
      <c r="L400" s="6" t="s">
        <v>68</v>
      </c>
      <c r="N400" s="7" t="str">
        <f t="shared" si="20"/>
        <v>{"name": "The Crocked Constable", "map": "Haven", "fCoords": "3060, 5673", "waCoords": "1029, 414", "leaflet": "1541.513,  3122.449", "pinType": "Inns &amp; Taverns", "mapRef": "Map Ref.: J05 (PA)", "type": "Tavern", "description": ""},</v>
      </c>
    </row>
    <row r="401" spans="1:14" ht="30" x14ac:dyDescent="0.25">
      <c r="A401" s="7" t="s">
        <v>857</v>
      </c>
      <c r="B401" s="7" t="s">
        <v>1187</v>
      </c>
      <c r="C401" s="6">
        <v>6320</v>
      </c>
      <c r="D401" s="6">
        <v>5466</v>
      </c>
      <c r="E401" s="6" t="str">
        <f>IFERROR(VLOOKUP($A401,tWA[],5,FALSE),"--")</f>
        <v>--</v>
      </c>
      <c r="F401" s="6" t="str">
        <f>IFERROR(VLOOKUP($A401,tWA[],6,FALSE),"--")</f>
        <v>--</v>
      </c>
      <c r="G401" s="18" t="s">
        <v>2105</v>
      </c>
      <c r="H401" s="18">
        <f t="shared" si="18"/>
        <v>1752.7379999999998</v>
      </c>
      <c r="I401" s="18" t="str">
        <f t="shared" si="19"/>
        <v>1752.738,  6448.98</v>
      </c>
      <c r="J401" s="6" t="s">
        <v>1204</v>
      </c>
      <c r="K401" s="6" t="s">
        <v>858</v>
      </c>
      <c r="L401" s="6" t="s">
        <v>68</v>
      </c>
      <c r="M401" s="11" t="s">
        <v>1226</v>
      </c>
      <c r="N401" s="7" t="str">
        <f t="shared" si="20"/>
        <v>{"name": "The Crystal Ship", "map": "Haven", "fCoords": "6320, 5466", "waCoords": "--, --", "leaflet": "1752.738,  6448.98", "pinType": "Inns &amp; Taverns", "mapRef": "Map Ref.: U05 (AK)", "type": "Tavern", "description": ""},</v>
      </c>
    </row>
    <row r="402" spans="1:14" ht="30" x14ac:dyDescent="0.25">
      <c r="A402" s="7" t="s">
        <v>859</v>
      </c>
      <c r="B402" s="7" t="s">
        <v>1187</v>
      </c>
      <c r="C402" s="6">
        <v>1393</v>
      </c>
      <c r="D402" s="6">
        <v>5347</v>
      </c>
      <c r="E402" s="6" t="str">
        <f>IFERROR(VLOOKUP($A402,tWA[],5,FALSE),"--")</f>
        <v>--</v>
      </c>
      <c r="F402" s="6" t="str">
        <f>IFERROR(VLOOKUP($A402,tWA[],6,FALSE),"--")</f>
        <v>--</v>
      </c>
      <c r="G402" s="18" t="s">
        <v>2106</v>
      </c>
      <c r="H402" s="18">
        <f t="shared" si="18"/>
        <v>1874.1659999999999</v>
      </c>
      <c r="I402" s="18" t="str">
        <f t="shared" si="19"/>
        <v>1874.166,  1421.429</v>
      </c>
      <c r="J402" s="6" t="s">
        <v>1204</v>
      </c>
      <c r="K402" s="6" t="s">
        <v>860</v>
      </c>
      <c r="L402" s="6" t="s">
        <v>68</v>
      </c>
      <c r="M402" s="11" t="s">
        <v>1226</v>
      </c>
      <c r="N402" s="7" t="str">
        <f t="shared" si="20"/>
        <v>{"name": "The Dancing Horse", "map": "Haven", "fCoords": "1393, 5347", "waCoords": "--, --", "leaflet": "1874.166,  1421.429", "pinType": "Inns &amp; Taverns", "mapRef": "Map Ref.: D06 (QH)", "type": "Tavern", "description": ""},</v>
      </c>
    </row>
    <row r="403" spans="1:14" ht="30" x14ac:dyDescent="0.25">
      <c r="A403" s="7" t="s">
        <v>861</v>
      </c>
      <c r="B403" s="7" t="s">
        <v>1187</v>
      </c>
      <c r="C403" s="6">
        <v>696</v>
      </c>
      <c r="D403" s="6">
        <v>2837</v>
      </c>
      <c r="E403" s="6" t="str">
        <f>IFERROR(VLOOKUP($A403,tWA[],5,FALSE),"--")</f>
        <v>--</v>
      </c>
      <c r="F403" s="6" t="str">
        <f>IFERROR(VLOOKUP($A403,tWA[],6,FALSE),"--")</f>
        <v>--</v>
      </c>
      <c r="G403" s="18" t="s">
        <v>2107</v>
      </c>
      <c r="H403" s="18">
        <f t="shared" si="18"/>
        <v>4435.3910000000005</v>
      </c>
      <c r="I403" s="18" t="str">
        <f t="shared" si="19"/>
        <v>4435.391,  710.204</v>
      </c>
      <c r="J403" s="6" t="s">
        <v>1204</v>
      </c>
      <c r="K403" s="6" t="s">
        <v>862</v>
      </c>
      <c r="L403" s="6" t="s">
        <v>68</v>
      </c>
      <c r="M403" s="11" t="s">
        <v>1226</v>
      </c>
      <c r="N403" s="7" t="str">
        <f t="shared" si="20"/>
        <v>{"name": "The Delver's Trove", "map": "Haven", "fCoords": "696, 2837", "waCoords": "--, --", "leaflet": "4435.391,  710.204", "pinType": "Inns &amp; Taverns", "mapRef": "Map Ref.: B14 (IL)", "type": "Tavern", "description": ""},</v>
      </c>
    </row>
    <row r="404" spans="1:14" ht="30" x14ac:dyDescent="0.25">
      <c r="A404" s="7" t="s">
        <v>863</v>
      </c>
      <c r="B404" s="7" t="s">
        <v>1187</v>
      </c>
      <c r="C404" s="6">
        <v>3787</v>
      </c>
      <c r="D404" s="6">
        <v>6193</v>
      </c>
      <c r="E404" s="6" t="str">
        <f>IFERROR(VLOOKUP($A404,tWA[],5,FALSE),"--")</f>
        <v>--</v>
      </c>
      <c r="F404" s="6" t="str">
        <f>IFERROR(VLOOKUP($A404,tWA[],6,FALSE),"--")</f>
        <v>--</v>
      </c>
      <c r="G404" s="18" t="s">
        <v>2108</v>
      </c>
      <c r="H404" s="18">
        <f t="shared" si="18"/>
        <v>1010.901</v>
      </c>
      <c r="I404" s="18" t="str">
        <f t="shared" si="19"/>
        <v>1010.901,  3864.286</v>
      </c>
      <c r="J404" s="6" t="s">
        <v>1218</v>
      </c>
      <c r="K404" s="6" t="s">
        <v>864</v>
      </c>
      <c r="L404" s="6" t="s">
        <v>114</v>
      </c>
      <c r="M404" s="11" t="s">
        <v>1226</v>
      </c>
      <c r="N404" s="7" t="str">
        <f t="shared" si="20"/>
        <v>{"name": "The Dreamseller's", "map": "Haven", "fCoords": "3787, 6193", "waCoords": "--, --", "leaflet": "1010.901,  3864.286", "pinType": "Shopping", "mapRef": "Map Ref.: M03 (FK)", "type": "Potions", "description": ""},</v>
      </c>
    </row>
    <row r="405" spans="1:14" ht="30" x14ac:dyDescent="0.25">
      <c r="A405" s="7" t="s">
        <v>865</v>
      </c>
      <c r="B405" s="7" t="s">
        <v>1187</v>
      </c>
      <c r="C405" s="6">
        <v>2207</v>
      </c>
      <c r="D405" s="6">
        <v>4957</v>
      </c>
      <c r="E405" s="6" t="str">
        <f>IFERROR(VLOOKUP($A405,tWA[],5,FALSE),"--")</f>
        <v>--</v>
      </c>
      <c r="F405" s="6" t="str">
        <f>IFERROR(VLOOKUP($A405,tWA[],6,FALSE),"--")</f>
        <v>--</v>
      </c>
      <c r="G405" s="18" t="s">
        <v>2109</v>
      </c>
      <c r="H405" s="18">
        <f t="shared" si="18"/>
        <v>2272.1259999999997</v>
      </c>
      <c r="I405" s="18" t="str">
        <f t="shared" si="19"/>
        <v>2272.126,  2252.041</v>
      </c>
      <c r="J405" s="6" t="s">
        <v>1199</v>
      </c>
      <c r="K405" s="6" t="s">
        <v>866</v>
      </c>
      <c r="L405" s="6" t="s">
        <v>276</v>
      </c>
      <c r="M405" s="11" t="s">
        <v>1226</v>
      </c>
      <c r="N405" s="7" t="str">
        <f t="shared" si="20"/>
        <v>{"name": "The Ducal Arms Theater", "map": "Haven", "fCoords": "2207, 4957", "waCoords": "--, --", "leaflet": "2272.126,  2252.041", "pinType": "Entertainment", "mapRef": "Map Ref.: G07 (MM)", "type": "Theatre", "description": ""},</v>
      </c>
    </row>
    <row r="406" spans="1:14" ht="30" x14ac:dyDescent="0.25">
      <c r="A406" s="7" t="s">
        <v>867</v>
      </c>
      <c r="B406" s="7" t="s">
        <v>1187</v>
      </c>
      <c r="C406" s="6">
        <v>947</v>
      </c>
      <c r="D406" s="6">
        <v>2677</v>
      </c>
      <c r="E406" s="6" t="str">
        <f>IFERROR(VLOOKUP($A406,tWA[],5,FALSE),"--")</f>
        <v>--</v>
      </c>
      <c r="F406" s="6" t="str">
        <f>IFERROR(VLOOKUP($A406,tWA[],6,FALSE),"--")</f>
        <v>--</v>
      </c>
      <c r="G406" s="18" t="s">
        <v>2110</v>
      </c>
      <c r="H406" s="18">
        <f t="shared" si="18"/>
        <v>4598.6559999999999</v>
      </c>
      <c r="I406" s="18" t="str">
        <f t="shared" si="19"/>
        <v>4598.656,  966.327</v>
      </c>
      <c r="J406" s="6" t="s">
        <v>1218</v>
      </c>
      <c r="K406" s="6" t="s">
        <v>868</v>
      </c>
      <c r="L406" s="6" t="s">
        <v>694</v>
      </c>
      <c r="M406" s="11" t="s">
        <v>1226</v>
      </c>
      <c r="N406" s="7" t="str">
        <f t="shared" si="20"/>
        <v>{"name": "The Dwarrow Smithy", "map": "Haven", "fCoords": "947, 2677", "waCoords": "--, --", "leaflet": "4598.656,  966.327", "pinType": "Shopping", "mapRef": "Map Ref.: C15 (IG)", "type": "Blacksmith", "description": ""},</v>
      </c>
    </row>
    <row r="407" spans="1:14" ht="30" x14ac:dyDescent="0.25">
      <c r="A407" s="7" t="s">
        <v>869</v>
      </c>
      <c r="B407" s="7" t="s">
        <v>1187</v>
      </c>
      <c r="C407" s="6">
        <v>5539</v>
      </c>
      <c r="D407" s="6">
        <v>1598</v>
      </c>
      <c r="E407" s="6" t="str">
        <f>IFERROR(VLOOKUP($A407,tWA[],5,FALSE),"--")</f>
        <v>--</v>
      </c>
      <c r="F407" s="6" t="str">
        <f>IFERROR(VLOOKUP($A407,tWA[],6,FALSE),"--")</f>
        <v>--</v>
      </c>
      <c r="G407" s="18" t="s">
        <v>2111</v>
      </c>
      <c r="H407" s="18">
        <f t="shared" si="18"/>
        <v>5699.6770000000006</v>
      </c>
      <c r="I407" s="18" t="str">
        <f t="shared" si="19"/>
        <v>5699.677,  5652.041</v>
      </c>
      <c r="J407" s="6" t="s">
        <v>1218</v>
      </c>
      <c r="K407" s="6" t="s">
        <v>870</v>
      </c>
      <c r="L407" s="6" t="s">
        <v>62</v>
      </c>
      <c r="M407" s="11" t="s">
        <v>1226</v>
      </c>
      <c r="N407" s="7" t="str">
        <f t="shared" si="20"/>
        <v>{"name": "The Feather and Frock", "map": "Haven", "fCoords": "5539, 1598", "waCoords": "--, --", "leaflet": "5699.677,  5652.041", "pinType": "Shopping", "mapRef": "Map Ref.: S18 (GJ)", "type": "General Clothing", "description": ""},</v>
      </c>
    </row>
    <row r="408" spans="1:14" ht="30" x14ac:dyDescent="0.25">
      <c r="A408" s="7" t="s">
        <v>871</v>
      </c>
      <c r="B408" s="7" t="s">
        <v>1187</v>
      </c>
      <c r="C408" s="6">
        <v>4351</v>
      </c>
      <c r="D408" s="6">
        <v>5970</v>
      </c>
      <c r="E408" s="6" t="str">
        <f>IFERROR(VLOOKUP($A408,tWA[],5,FALSE),"--")</f>
        <v>--</v>
      </c>
      <c r="F408" s="6" t="str">
        <f>IFERROR(VLOOKUP($A408,tWA[],6,FALSE),"--")</f>
        <v>--</v>
      </c>
      <c r="G408" s="18" t="s">
        <v>2112</v>
      </c>
      <c r="H408" s="18">
        <f t="shared" si="18"/>
        <v>1238.452</v>
      </c>
      <c r="I408" s="18" t="str">
        <f t="shared" si="19"/>
        <v>1238.452,  4439.796</v>
      </c>
      <c r="J408" s="6" t="s">
        <v>1199</v>
      </c>
      <c r="K408" s="6" t="s">
        <v>872</v>
      </c>
      <c r="L408" s="6" t="s">
        <v>19</v>
      </c>
      <c r="M408" s="11" t="s">
        <v>1226</v>
      </c>
      <c r="N408" s="7" t="str">
        <f t="shared" si="20"/>
        <v>{"name": "The Fluttering Veil", "map": "Haven", "fCoords": "4351, 5970", "waCoords": "--, --", "leaflet": "1238.452,  4439.796", "pinType": "Entertainment", "mapRef": "Map Ref.: O04 (FU)", "type": "Brothel", "description": ""},</v>
      </c>
    </row>
    <row r="409" spans="1:14" ht="30" x14ac:dyDescent="0.25">
      <c r="A409" s="7" t="s">
        <v>873</v>
      </c>
      <c r="B409" s="7" t="s">
        <v>1187</v>
      </c>
      <c r="C409" s="6">
        <v>6071</v>
      </c>
      <c r="D409" s="6">
        <v>5076</v>
      </c>
      <c r="E409" s="6" t="str">
        <f>IFERROR(VLOOKUP($A409,tWA[],5,FALSE),"--")</f>
        <v>--</v>
      </c>
      <c r="F409" s="6" t="str">
        <f>IFERROR(VLOOKUP($A409,tWA[],6,FALSE),"--")</f>
        <v>--</v>
      </c>
      <c r="G409" s="18" t="s">
        <v>2113</v>
      </c>
      <c r="H409" s="18">
        <f t="shared" si="18"/>
        <v>2150.6970000000001</v>
      </c>
      <c r="I409" s="18" t="str">
        <f t="shared" si="19"/>
        <v>2150.697,  6194.898</v>
      </c>
      <c r="J409" s="6" t="s">
        <v>1218</v>
      </c>
      <c r="K409" s="6" t="s">
        <v>874</v>
      </c>
      <c r="L409" s="6" t="s">
        <v>48</v>
      </c>
      <c r="M409" s="11" t="s">
        <v>1226</v>
      </c>
      <c r="N409" s="7" t="str">
        <f t="shared" si="20"/>
        <v>{"name": "The Foundry", "map": "Haven", "fCoords": "6071, 5076", "waCoords": "--, --", "leaflet": "2150.697,  6194.898", "pinType": "Shopping", "mapRef": "Map Ref.: U07 (BD)", "type": "Foundry", "description": ""},</v>
      </c>
    </row>
    <row r="410" spans="1:14" ht="30" x14ac:dyDescent="0.25">
      <c r="A410" s="7" t="s">
        <v>875</v>
      </c>
      <c r="B410" s="7" t="s">
        <v>1187</v>
      </c>
      <c r="C410" s="6">
        <v>1124</v>
      </c>
      <c r="D410" s="6">
        <v>4251</v>
      </c>
      <c r="E410" s="6" t="str">
        <f>IFERROR(VLOOKUP($A410,tWA[],5,FALSE),"--")</f>
        <v>--</v>
      </c>
      <c r="F410" s="6" t="str">
        <f>IFERROR(VLOOKUP($A410,tWA[],6,FALSE),"--")</f>
        <v>--</v>
      </c>
      <c r="G410" s="18" t="s">
        <v>2114</v>
      </c>
      <c r="H410" s="18">
        <f t="shared" si="18"/>
        <v>2992.5340000000001</v>
      </c>
      <c r="I410" s="18" t="str">
        <f t="shared" si="19"/>
        <v>2992.534,  1146.939</v>
      </c>
      <c r="J410" s="6" t="s">
        <v>1204</v>
      </c>
      <c r="K410" s="6" t="s">
        <v>876</v>
      </c>
      <c r="L410" s="6" t="s">
        <v>16</v>
      </c>
      <c r="M410" s="11" t="s">
        <v>1226</v>
      </c>
      <c r="N410" s="7" t="str">
        <f t="shared" si="20"/>
        <v>{"name": "The Four of Swords", "map": "Haven", "fCoords": "1124, 4251", "waCoords": "--, --", "leaflet": "2992.534,  1146.939", "pinType": "Inns &amp; Taverns", "mapRef": "Map Ref.: C09 (LK)", "type": "Inn", "description": ""},</v>
      </c>
    </row>
    <row r="411" spans="1:14" ht="30" x14ac:dyDescent="0.25">
      <c r="A411" s="7" t="s">
        <v>877</v>
      </c>
      <c r="B411" s="7" t="s">
        <v>1187</v>
      </c>
      <c r="C411" s="6">
        <v>1104</v>
      </c>
      <c r="D411" s="6">
        <v>4928</v>
      </c>
      <c r="E411" s="6" t="str">
        <f>IFERROR(VLOOKUP($A411,tWA[],5,FALSE),"--")</f>
        <v>--</v>
      </c>
      <c r="F411" s="6" t="str">
        <f>IFERROR(VLOOKUP($A411,tWA[],6,FALSE),"--")</f>
        <v>--</v>
      </c>
      <c r="G411" s="18" t="s">
        <v>2115</v>
      </c>
      <c r="H411" s="18">
        <f t="shared" si="18"/>
        <v>2301.7170000000001</v>
      </c>
      <c r="I411" s="18" t="str">
        <f t="shared" si="19"/>
        <v>2301.717,  1126.531</v>
      </c>
      <c r="J411" s="6" t="s">
        <v>1204</v>
      </c>
      <c r="K411" s="6" t="s">
        <v>878</v>
      </c>
      <c r="L411" s="6" t="s">
        <v>68</v>
      </c>
      <c r="M411" s="11" t="s">
        <v>1226</v>
      </c>
      <c r="N411" s="7" t="str">
        <f t="shared" si="20"/>
        <v>{"name": "The Four Ox Team", "map": "Haven", "fCoords": "1104, 4928", "waCoords": "--, --", "leaflet": "2301.717,  1126.531", "pinType": "Inns &amp; Taverns", "mapRef": "Map Ref.: C07 (PG)", "type": "Tavern", "description": ""},</v>
      </c>
    </row>
    <row r="412" spans="1:14" ht="30" x14ac:dyDescent="0.25">
      <c r="A412" s="7" t="s">
        <v>879</v>
      </c>
      <c r="B412" s="7" t="s">
        <v>1187</v>
      </c>
      <c r="C412" s="6">
        <v>3926</v>
      </c>
      <c r="D412" s="6">
        <v>5157</v>
      </c>
      <c r="E412" s="6" t="str">
        <f>IFERROR(VLOOKUP($A412,tWA[],5,FALSE),"--")</f>
        <v>--</v>
      </c>
      <c r="F412" s="6" t="str">
        <f>IFERROR(VLOOKUP($A412,tWA[],6,FALSE),"--")</f>
        <v>--</v>
      </c>
      <c r="G412" s="18" t="s">
        <v>2116</v>
      </c>
      <c r="H412" s="18">
        <f t="shared" si="18"/>
        <v>2068.0439999999999</v>
      </c>
      <c r="I412" s="18" t="str">
        <f t="shared" si="19"/>
        <v>2068.044,  4006.122</v>
      </c>
      <c r="J412" s="6" t="s">
        <v>1204</v>
      </c>
      <c r="K412" s="6" t="s">
        <v>880</v>
      </c>
      <c r="L412" s="6" t="s">
        <v>68</v>
      </c>
      <c r="M412" s="11" t="s">
        <v>1226</v>
      </c>
      <c r="N412" s="7" t="str">
        <f t="shared" si="20"/>
        <v>{"name": "The Fox and Goose", "map": "Haven", "fCoords": "3926, 5157", "waCoords": "--, --", "leaflet": "2068.044,  4006.122", "pinType": "Inns &amp; Taverns", "mapRef": "Map Ref.: M06 (DH)", "type": "Tavern", "description": ""},</v>
      </c>
    </row>
    <row r="413" spans="1:14" ht="30" x14ac:dyDescent="0.25">
      <c r="A413" s="7" t="s">
        <v>881</v>
      </c>
      <c r="B413" s="7" t="s">
        <v>1187</v>
      </c>
      <c r="C413" s="6">
        <v>6428</v>
      </c>
      <c r="D413" s="6">
        <v>2802</v>
      </c>
      <c r="E413" s="6" t="str">
        <f>IFERROR(VLOOKUP($A413,tWA[],5,FALSE),"--")</f>
        <v>--</v>
      </c>
      <c r="F413" s="6" t="str">
        <f>IFERROR(VLOOKUP($A413,tWA[],6,FALSE),"--")</f>
        <v>--</v>
      </c>
      <c r="G413" s="18" t="s">
        <v>2117</v>
      </c>
      <c r="H413" s="18">
        <f t="shared" si="18"/>
        <v>4471.1050000000005</v>
      </c>
      <c r="I413" s="18" t="str">
        <f t="shared" si="19"/>
        <v>4471.105,  6559.184</v>
      </c>
      <c r="J413" s="6" t="s">
        <v>1204</v>
      </c>
      <c r="K413" s="6" t="s">
        <v>882</v>
      </c>
      <c r="L413" s="6" t="s">
        <v>68</v>
      </c>
      <c r="M413" s="11" t="s">
        <v>1226</v>
      </c>
      <c r="N413" s="7" t="str">
        <f t="shared" si="20"/>
        <v>{"name": "The Giggling Gryphon", "map": "Haven", "fCoords": "6428, 2802", "waCoords": "--, --", "leaflet": "4471.105,  6559.184", "pinType": "Inns &amp; Taverns", "mapRef": "Map Ref.: V14 (ME)", "type": "Tavern", "description": ""},</v>
      </c>
    </row>
    <row r="414" spans="1:14" ht="30" x14ac:dyDescent="0.25">
      <c r="A414" s="7" t="s">
        <v>883</v>
      </c>
      <c r="B414" s="7" t="s">
        <v>1187</v>
      </c>
      <c r="C414" s="6">
        <v>3338</v>
      </c>
      <c r="D414" s="6">
        <v>3850</v>
      </c>
      <c r="E414" s="6" t="str">
        <f>IFERROR(VLOOKUP($A414,tWA[],5,FALSE),"--")</f>
        <v>--</v>
      </c>
      <c r="F414" s="6" t="str">
        <f>IFERROR(VLOOKUP($A414,tWA[],6,FALSE),"--")</f>
        <v>--</v>
      </c>
      <c r="G414" s="18" t="s">
        <v>2118</v>
      </c>
      <c r="H414" s="18">
        <f t="shared" si="18"/>
        <v>3401.7170000000001</v>
      </c>
      <c r="I414" s="18" t="str">
        <f t="shared" si="19"/>
        <v>3401.717,  3406.122</v>
      </c>
      <c r="J414" s="6" t="s">
        <v>1204</v>
      </c>
      <c r="K414" s="6" t="s">
        <v>884</v>
      </c>
      <c r="L414" s="6" t="s">
        <v>68</v>
      </c>
      <c r="M414" s="11" t="s">
        <v>1226</v>
      </c>
      <c r="N414" s="7" t="str">
        <f t="shared" si="20"/>
        <v>{"name": "The Gilded Cage", "map": "Haven", "fCoords": "3338, 3850", "waCoords": "--, --", "leaflet": "3401.717,  3406.122", "pinType": "Inns &amp; Taverns", "mapRef": "Map Ref.: K11 (JP)", "type": "Tavern", "description": ""},</v>
      </c>
    </row>
    <row r="415" spans="1:14" ht="30" x14ac:dyDescent="0.25">
      <c r="A415" s="7" t="s">
        <v>885</v>
      </c>
      <c r="B415" s="7" t="s">
        <v>1187</v>
      </c>
      <c r="C415" s="6">
        <v>4389</v>
      </c>
      <c r="D415" s="6">
        <v>4373</v>
      </c>
      <c r="E415" s="6" t="str">
        <f>IFERROR(VLOOKUP($A415,tWA[],5,FALSE),"--")</f>
        <v>--</v>
      </c>
      <c r="F415" s="6" t="str">
        <f>IFERROR(VLOOKUP($A415,tWA[],6,FALSE),"--")</f>
        <v>--</v>
      </c>
      <c r="G415" s="18" t="s">
        <v>2119</v>
      </c>
      <c r="H415" s="18">
        <f t="shared" si="18"/>
        <v>2868.0439999999999</v>
      </c>
      <c r="I415" s="18" t="str">
        <f t="shared" si="19"/>
        <v>2868.044,  4478.571</v>
      </c>
      <c r="J415" s="6" t="s">
        <v>1218</v>
      </c>
      <c r="K415" s="6" t="s">
        <v>886</v>
      </c>
      <c r="L415" s="6" t="s">
        <v>606</v>
      </c>
      <c r="M415" s="11" t="s">
        <v>1226</v>
      </c>
      <c r="N415" s="7" t="str">
        <f t="shared" si="20"/>
        <v>{"name": "The Glass Smelter", "map": "Haven", "fCoords": "4389, 4373", "waCoords": "--, --", "leaflet": "2868.044,  4478.571", "pinType": "Shopping", "mapRef": "Map Ref.: O09 (EG)", "type": "Glass", "description": ""},</v>
      </c>
    </row>
    <row r="416" spans="1:14" ht="45" x14ac:dyDescent="0.25">
      <c r="A416" s="7" t="s">
        <v>887</v>
      </c>
      <c r="B416" s="7" t="s">
        <v>1187</v>
      </c>
      <c r="C416" s="6">
        <v>2172</v>
      </c>
      <c r="D416" s="6">
        <v>1075</v>
      </c>
      <c r="E416" s="6" t="str">
        <f>IFERROR(VLOOKUP($A416,tWA[],5,FALSE),"--")</f>
        <v>2169</v>
      </c>
      <c r="F416" s="6" t="str">
        <f>IFERROR(VLOOKUP($A416,tWA[],6,FALSE),"--")</f>
        <v>6092</v>
      </c>
      <c r="G416" s="18" t="s">
        <v>2120</v>
      </c>
      <c r="H416" s="18">
        <f t="shared" si="18"/>
        <v>6233.35</v>
      </c>
      <c r="I416" s="18" t="str">
        <f t="shared" si="19"/>
        <v>6233.35,  2216.327</v>
      </c>
      <c r="J416" s="6" t="s">
        <v>1204</v>
      </c>
      <c r="K416" s="6" t="s">
        <v>888</v>
      </c>
      <c r="L416" s="6" t="s">
        <v>16</v>
      </c>
      <c r="M416" s="11" t="s">
        <v>1363</v>
      </c>
      <c r="N416" s="7" t="str">
        <f t="shared" si="20"/>
        <v>{"name": "The Golden Ducat", "map": "Haven", "fCoords": "2172, 1075", "waCoords": "2169, 6092", "leaflet": "6233.35,  2216.327", "pinType": "Inns &amp; Taverns", "mapRef": "Map Ref.: G20 (CC)", "type": "Inn", "description": "One of the more well known inns/taverns in haven"},</v>
      </c>
    </row>
    <row r="417" spans="1:14" ht="30" x14ac:dyDescent="0.25">
      <c r="A417" s="7" t="s">
        <v>889</v>
      </c>
      <c r="B417" s="7" t="s">
        <v>1187</v>
      </c>
      <c r="C417" s="6">
        <v>5404</v>
      </c>
      <c r="D417" s="6">
        <v>2701</v>
      </c>
      <c r="E417" s="6" t="str">
        <f>IFERROR(VLOOKUP($A417,tWA[],5,FALSE),"--")</f>
        <v>--</v>
      </c>
      <c r="F417" s="6" t="str">
        <f>IFERROR(VLOOKUP($A417,tWA[],6,FALSE),"--")</f>
        <v>--</v>
      </c>
      <c r="G417" s="18" t="s">
        <v>2121</v>
      </c>
      <c r="H417" s="18">
        <f t="shared" si="18"/>
        <v>4574.1660000000002</v>
      </c>
      <c r="I417" s="18" t="str">
        <f t="shared" si="19"/>
        <v>4574.166,  5514.286</v>
      </c>
      <c r="J417" s="6" t="s">
        <v>1218</v>
      </c>
      <c r="K417" s="6" t="s">
        <v>891</v>
      </c>
      <c r="L417" s="6" t="s">
        <v>890</v>
      </c>
      <c r="M417" s="11" t="s">
        <v>1226</v>
      </c>
      <c r="N417" s="7" t="str">
        <f t="shared" si="20"/>
        <v>{"name": "The Golden Goblet", "map": "Haven", "fCoords": "5404, 2701", "waCoords": "--, --", "leaflet": "4574.166,  5514.286", "pinType": "Shopping", "mapRef": "Map Ref.: R14 (GR)", "type": "Drinkware", "description": ""},</v>
      </c>
    </row>
    <row r="418" spans="1:14" ht="30" x14ac:dyDescent="0.25">
      <c r="A418" s="7" t="s">
        <v>892</v>
      </c>
      <c r="B418" s="7" t="s">
        <v>1187</v>
      </c>
      <c r="C418" s="6">
        <v>3020</v>
      </c>
      <c r="D418" s="6">
        <v>5413</v>
      </c>
      <c r="E418" s="6" t="str">
        <f>IFERROR(VLOOKUP($A418,tWA[],5,FALSE),"--")</f>
        <v>--</v>
      </c>
      <c r="F418" s="6" t="str">
        <f>IFERROR(VLOOKUP($A418,tWA[],6,FALSE),"--")</f>
        <v>--</v>
      </c>
      <c r="G418" s="18" t="s">
        <v>2122</v>
      </c>
      <c r="H418" s="18">
        <f t="shared" si="18"/>
        <v>1806.819</v>
      </c>
      <c r="I418" s="18" t="str">
        <f t="shared" si="19"/>
        <v>1806.819,  3081.633</v>
      </c>
      <c r="J418" s="6" t="s">
        <v>1204</v>
      </c>
      <c r="K418" s="6" t="s">
        <v>893</v>
      </c>
      <c r="L418" s="6" t="s">
        <v>68</v>
      </c>
      <c r="M418" s="11" t="s">
        <v>1226</v>
      </c>
      <c r="N418" s="7" t="str">
        <f t="shared" si="20"/>
        <v>{"name": "The Golden Sovereign", "map": "Haven", "fCoords": "3020, 5413", "waCoords": "--, --", "leaflet": "1806.819,  3081.633", "pinType": "Inns &amp; Taverns", "mapRef": "Map Ref.: J05 (PC)", "type": "Tavern", "description": ""},</v>
      </c>
    </row>
    <row r="419" spans="1:14" ht="30" x14ac:dyDescent="0.25">
      <c r="A419" s="7" t="s">
        <v>1177</v>
      </c>
      <c r="B419" s="7" t="s">
        <v>1187</v>
      </c>
      <c r="C419" s="6">
        <v>2122</v>
      </c>
      <c r="D419" s="6">
        <v>5795</v>
      </c>
      <c r="E419" s="6" t="str">
        <f>IFERROR(VLOOKUP($A419,tWA[],5,FALSE),"--")</f>
        <v>2155</v>
      </c>
      <c r="F419" s="6" t="str">
        <f>IFERROR(VLOOKUP($A419,tWA[],6,FALSE),"--")</f>
        <v>1383</v>
      </c>
      <c r="G419" s="18" t="s">
        <v>2123</v>
      </c>
      <c r="H419" s="18">
        <f t="shared" si="18"/>
        <v>1417.0229999999999</v>
      </c>
      <c r="I419" s="18" t="str">
        <f t="shared" si="19"/>
        <v>1417.023,  2165.306</v>
      </c>
      <c r="J419" s="6" t="s">
        <v>338</v>
      </c>
      <c r="K419" s="6" t="s">
        <v>899</v>
      </c>
      <c r="L419" s="6" t="s">
        <v>825</v>
      </c>
      <c r="M419" s="11" t="s">
        <v>1351</v>
      </c>
      <c r="N419" s="7" t="str">
        <f t="shared" si="20"/>
        <v>{"name": "The Gray Halls", "map": "Haven", "fCoords": "2122, 5795", "waCoords": "2155, 1383", "leaflet": "1417.023,  2165.306", "pinType": "Government", "mapRef": "Map Ref.: G04 (OS)", "type": "Prison", "description": "A prision"},</v>
      </c>
    </row>
    <row r="420" spans="1:14" ht="45" x14ac:dyDescent="0.25">
      <c r="A420" s="7" t="s">
        <v>894</v>
      </c>
      <c r="B420" s="7" t="s">
        <v>1187</v>
      </c>
      <c r="C420" s="6">
        <v>1453</v>
      </c>
      <c r="D420" s="6">
        <v>3167</v>
      </c>
      <c r="E420" s="6" t="str">
        <f>IFERROR(VLOOKUP($A420,tWA[],5,FALSE),"--")</f>
        <v>1461</v>
      </c>
      <c r="F420" s="6" t="str">
        <f>IFERROR(VLOOKUP($A420,tWA[],6,FALSE),"--")</f>
        <v>4014</v>
      </c>
      <c r="G420" s="18" t="s">
        <v>2124</v>
      </c>
      <c r="H420" s="18">
        <f t="shared" si="18"/>
        <v>4098.6559999999999</v>
      </c>
      <c r="I420" s="18" t="str">
        <f t="shared" si="19"/>
        <v>4098.656,  1482.653</v>
      </c>
      <c r="J420" s="6" t="s">
        <v>1678</v>
      </c>
      <c r="K420" s="6" t="s">
        <v>895</v>
      </c>
      <c r="L420" s="6" t="s">
        <v>135</v>
      </c>
      <c r="M420" s="11" t="s">
        <v>1377</v>
      </c>
      <c r="N420" s="7" t="str">
        <f t="shared" si="20"/>
        <v>{"name": "The Green", "map": "Haven", "fCoords": "1453, 3167", "waCoords": "1461, 4014", "leaflet": "4098.656,  1482.653", "pinType": "Landmark", "mapRef": "Map Ref.: E13 (SN)", "type": "Park", "description": "The central of life in The Dell. Ironic since it's mostly brown or grey stone"},</v>
      </c>
    </row>
    <row r="421" spans="1:14" ht="30" x14ac:dyDescent="0.25">
      <c r="A421" s="7" t="s">
        <v>896</v>
      </c>
      <c r="B421" s="7" t="s">
        <v>1187</v>
      </c>
      <c r="C421" s="6">
        <v>4458</v>
      </c>
      <c r="D421" s="6">
        <v>6068</v>
      </c>
      <c r="E421" s="6" t="str">
        <f>IFERROR(VLOOKUP($A421,tWA[],5,FALSE),"--")</f>
        <v>--</v>
      </c>
      <c r="F421" s="6" t="str">
        <f>IFERROR(VLOOKUP($A421,tWA[],6,FALSE),"--")</f>
        <v>--</v>
      </c>
      <c r="G421" s="18" t="s">
        <v>2125</v>
      </c>
      <c r="H421" s="18">
        <f t="shared" si="18"/>
        <v>1138.452</v>
      </c>
      <c r="I421" s="18" t="str">
        <f t="shared" si="19"/>
        <v>1138.452,  4548.98</v>
      </c>
      <c r="J421" s="6" t="s">
        <v>1204</v>
      </c>
      <c r="K421" s="6" t="s">
        <v>897</v>
      </c>
      <c r="L421" s="6" t="s">
        <v>68</v>
      </c>
      <c r="M421" s="11" t="s">
        <v>1226</v>
      </c>
      <c r="N421" s="7" t="str">
        <f t="shared" si="20"/>
        <v>{"name": "The Green Gryphon", "map": "Haven", "fCoords": "4458, 6068", "waCoords": "--, --", "leaflet": "1138.452,  4548.98", "pinType": "Inns &amp; Taverns", "mapRef": "Map Ref.: O03 (FV)", "type": "Tavern", "description": ""},</v>
      </c>
    </row>
    <row r="422" spans="1:14" ht="30" x14ac:dyDescent="0.25">
      <c r="A422" s="7" t="s">
        <v>898</v>
      </c>
      <c r="B422" s="7" t="s">
        <v>1187</v>
      </c>
      <c r="C422" s="6">
        <v>2285</v>
      </c>
      <c r="D422" s="6">
        <v>5830</v>
      </c>
      <c r="E422" s="6" t="str">
        <f>IFERROR(VLOOKUP($A422,tWA[],5,FALSE),"--")</f>
        <v>--</v>
      </c>
      <c r="F422" s="6" t="str">
        <f>IFERROR(VLOOKUP($A422,tWA[],6,FALSE),"--")</f>
        <v>--</v>
      </c>
      <c r="G422" s="18" t="s">
        <v>2126</v>
      </c>
      <c r="H422" s="18">
        <f t="shared" si="18"/>
        <v>1381.309</v>
      </c>
      <c r="I422" s="18" t="str">
        <f t="shared" si="19"/>
        <v>1381.309,  2331.633</v>
      </c>
      <c r="J422" s="6" t="s">
        <v>338</v>
      </c>
      <c r="K422" s="6" t="s">
        <v>1693</v>
      </c>
      <c r="L422" s="6" t="s">
        <v>825</v>
      </c>
      <c r="M422" s="11" t="s">
        <v>1226</v>
      </c>
      <c r="N422" s="7" t="str">
        <f t="shared" si="20"/>
        <v>{"name": "The Grey Halls", "map": "Haven", "fCoords": "2285, 5830", "waCoords": "--, --", "leaflet": "1381.309,  2331.633", "pinType": "Government", "mapRef": "Map Ref.: G04", "type": "Prison", "description": ""},</v>
      </c>
    </row>
    <row r="423" spans="1:14" ht="30" x14ac:dyDescent="0.25">
      <c r="A423" s="7" t="s">
        <v>900</v>
      </c>
      <c r="B423" s="7" t="s">
        <v>1187</v>
      </c>
      <c r="C423" s="6">
        <v>472</v>
      </c>
      <c r="D423" s="6">
        <v>3339</v>
      </c>
      <c r="E423" s="6" t="str">
        <f>IFERROR(VLOOKUP($A423,tWA[],5,FALSE),"--")</f>
        <v>--</v>
      </c>
      <c r="F423" s="6" t="str">
        <f>IFERROR(VLOOKUP($A423,tWA[],6,FALSE),"--")</f>
        <v>--</v>
      </c>
      <c r="G423" s="18" t="s">
        <v>2127</v>
      </c>
      <c r="H423" s="18">
        <f t="shared" si="18"/>
        <v>3923.1459999999997</v>
      </c>
      <c r="I423" s="18" t="str">
        <f t="shared" si="19"/>
        <v>3923.146,  481.633</v>
      </c>
      <c r="J423" s="6" t="s">
        <v>1218</v>
      </c>
      <c r="K423" s="6" t="s">
        <v>901</v>
      </c>
      <c r="L423" s="6" t="s">
        <v>54</v>
      </c>
      <c r="M423" s="11" t="s">
        <v>1226</v>
      </c>
      <c r="N423" s="7" t="str">
        <f t="shared" si="20"/>
        <v>{"name": "The Grubstake", "map": "Haven", "fCoords": "472, 3339", "waCoords": "--, --", "leaflet": "3923.146,  481.633", "pinType": "Shopping", "mapRef": "Map Ref.: A12 (IC)", "type": "General Goods", "description": ""},</v>
      </c>
    </row>
    <row r="424" spans="1:14" ht="60" x14ac:dyDescent="0.25">
      <c r="A424" s="7" t="s">
        <v>902</v>
      </c>
      <c r="B424" s="7" t="s">
        <v>1187</v>
      </c>
      <c r="C424" s="6">
        <v>4091</v>
      </c>
      <c r="D424" s="6">
        <v>2219</v>
      </c>
      <c r="E424" s="6" t="str">
        <f>IFERROR(VLOOKUP($A424,tWA[],5,FALSE),"--")</f>
        <v>4100</v>
      </c>
      <c r="F424" s="6" t="str">
        <f>IFERROR(VLOOKUP($A424,tWA[],6,FALSE),"--")</f>
        <v>4959</v>
      </c>
      <c r="G424" s="18" t="s">
        <v>2128</v>
      </c>
      <c r="H424" s="18">
        <f t="shared" si="18"/>
        <v>5066.0030000000006</v>
      </c>
      <c r="I424" s="18" t="str">
        <f t="shared" si="19"/>
        <v>5066.003,  4174.49</v>
      </c>
      <c r="J424" s="6" t="s">
        <v>1680</v>
      </c>
      <c r="K424" s="6" t="s">
        <v>903</v>
      </c>
      <c r="L424" s="6" t="s">
        <v>273</v>
      </c>
      <c r="M424" s="11" t="s">
        <v>1362</v>
      </c>
      <c r="N424" s="7" t="str">
        <f t="shared" si="20"/>
        <v>{"name": "The Hall of All Guilds", "map": "Haven", "fCoords": "4091, 2219", "waCoords": "4100, 4959", "leaflet": "5066.003,  4174.49", "pinType": "Guild", "mapRef": "Map Ref.: N16 (GH)", "type": "Guildhouse", "description": "This building serves a couple purposes. First, it provides a meeting place for guilds that don't have their own hall. It is also where the Council of Masters meets."},</v>
      </c>
    </row>
    <row r="425" spans="1:14" ht="45" x14ac:dyDescent="0.25">
      <c r="A425" s="7" t="s">
        <v>904</v>
      </c>
      <c r="B425" s="7" t="s">
        <v>1187</v>
      </c>
      <c r="C425" s="6">
        <v>4343</v>
      </c>
      <c r="D425" s="6">
        <v>2372</v>
      </c>
      <c r="E425" s="6" t="str">
        <f>IFERROR(VLOOKUP($A425,tWA[],5,FALSE),"--")</f>
        <v>4334</v>
      </c>
      <c r="F425" s="6" t="str">
        <f>IFERROR(VLOOKUP($A425,tWA[],6,FALSE),"--")</f>
        <v>4809</v>
      </c>
      <c r="G425" s="18" t="s">
        <v>2129</v>
      </c>
      <c r="H425" s="18">
        <f t="shared" si="18"/>
        <v>4909.8810000000003</v>
      </c>
      <c r="I425" s="18" t="str">
        <f t="shared" si="19"/>
        <v>4909.881,  4431.633</v>
      </c>
      <c r="J425" s="6" t="s">
        <v>1204</v>
      </c>
      <c r="K425" s="6" t="s">
        <v>905</v>
      </c>
      <c r="L425" s="6" t="s">
        <v>68</v>
      </c>
      <c r="M425" s="11" t="s">
        <v>1344</v>
      </c>
      <c r="N425" s="7" t="str">
        <f t="shared" si="20"/>
        <v>{"name": "The Hanged Man", "map": "Haven", "fCoords": "4343, 2372", "waCoords": "4334, 4809", "leaflet": "4909.881,  4431.633", "pinType": "Inns &amp; Taverns", "mapRef": "Map Ref.: O16 (GF)", "type": "Tavern", "description": "A tavern popular with the legal crowd"},</v>
      </c>
    </row>
    <row r="426" spans="1:14" ht="30" x14ac:dyDescent="0.25">
      <c r="A426" s="7" t="s">
        <v>906</v>
      </c>
      <c r="B426" s="7" t="s">
        <v>1187</v>
      </c>
      <c r="C426" s="6">
        <v>2264</v>
      </c>
      <c r="D426" s="6">
        <v>4937</v>
      </c>
      <c r="E426" s="6" t="str">
        <f>IFERROR(VLOOKUP($A426,tWA[],5,FALSE),"--")</f>
        <v>--</v>
      </c>
      <c r="F426" s="6" t="str">
        <f>IFERROR(VLOOKUP($A426,tWA[],6,FALSE),"--")</f>
        <v>--</v>
      </c>
      <c r="G426" s="18" t="s">
        <v>2130</v>
      </c>
      <c r="H426" s="18">
        <f t="shared" si="18"/>
        <v>2292.5340000000001</v>
      </c>
      <c r="I426" s="18" t="str">
        <f t="shared" si="19"/>
        <v>2292.534,  2310.204</v>
      </c>
      <c r="J426" s="6" t="s">
        <v>1218</v>
      </c>
      <c r="K426" s="6" t="s">
        <v>907</v>
      </c>
      <c r="L426" s="6" t="s">
        <v>198</v>
      </c>
      <c r="M426" s="11" t="s">
        <v>1226</v>
      </c>
      <c r="N426" s="7" t="str">
        <f t="shared" si="20"/>
        <v>{"name": "The Harp Sellers", "map": "Haven", "fCoords": "2264, 4937", "waCoords": "--, --", "leaflet": "2292.534,  2310.204", "pinType": "Shopping", "mapRef": "Map Ref.: G07 (MJ)", "type": "Musical Instruments", "description": ""},</v>
      </c>
    </row>
    <row r="427" spans="1:14" ht="30" x14ac:dyDescent="0.25">
      <c r="A427" s="7" t="s">
        <v>908</v>
      </c>
      <c r="B427" s="7" t="s">
        <v>1187</v>
      </c>
      <c r="C427" s="6">
        <v>4016</v>
      </c>
      <c r="D427" s="6">
        <v>5662</v>
      </c>
      <c r="E427" s="6" t="str">
        <f>IFERROR(VLOOKUP($A427,tWA[],5,FALSE),"--")</f>
        <v>--</v>
      </c>
      <c r="F427" s="6" t="str">
        <f>IFERROR(VLOOKUP($A427,tWA[],6,FALSE),"--")</f>
        <v>--</v>
      </c>
      <c r="G427" s="18" t="s">
        <v>2131</v>
      </c>
      <c r="H427" s="18">
        <f t="shared" si="18"/>
        <v>1552.7379999999998</v>
      </c>
      <c r="I427" s="18" t="str">
        <f t="shared" si="19"/>
        <v>1552.738,  4097.959</v>
      </c>
      <c r="J427" s="6" t="s">
        <v>1204</v>
      </c>
      <c r="K427" s="6" t="s">
        <v>909</v>
      </c>
      <c r="L427" s="6" t="s">
        <v>68</v>
      </c>
      <c r="M427" s="11" t="s">
        <v>1226</v>
      </c>
      <c r="N427" s="7" t="str">
        <f t="shared" si="20"/>
        <v>{"name": "The Hearth and Hound", "map": "Haven", "fCoords": "4016, 5662", "waCoords": "--, --", "leaflet": "1552.738,  4097.959", "pinType": "Inns &amp; Taverns", "mapRef": "Map Ref.: M05 (FI)", "type": "Tavern", "description": ""},</v>
      </c>
    </row>
    <row r="428" spans="1:14" ht="45" x14ac:dyDescent="0.25">
      <c r="A428" s="7" t="s">
        <v>910</v>
      </c>
      <c r="B428" s="7" t="s">
        <v>1187</v>
      </c>
      <c r="C428" s="6">
        <v>2474</v>
      </c>
      <c r="D428" s="6">
        <v>4386</v>
      </c>
      <c r="E428" s="6" t="str">
        <f>IFERROR(VLOOKUP($A428,tWA[],5,FALSE),"--")</f>
        <v>2472</v>
      </c>
      <c r="F428" s="6" t="str">
        <f>IFERROR(VLOOKUP($A428,tWA[],6,FALSE),"--")</f>
        <v>2807</v>
      </c>
      <c r="G428" s="18" t="s">
        <v>2132</v>
      </c>
      <c r="H428" s="18">
        <f t="shared" si="18"/>
        <v>2854.779</v>
      </c>
      <c r="I428" s="18" t="str">
        <f t="shared" si="19"/>
        <v>2854.779,  2524.49</v>
      </c>
      <c r="J428" s="6" t="s">
        <v>22</v>
      </c>
      <c r="K428" s="6" t="s">
        <v>911</v>
      </c>
      <c r="L428" s="6" t="s">
        <v>22</v>
      </c>
      <c r="M428" s="11" t="s">
        <v>1382</v>
      </c>
      <c r="N428" s="7" t="str">
        <f t="shared" si="20"/>
        <v>{"name": "The House of Healing", "map": "Haven", "fCoords": "2474, 4386", "waCoords": "2472, 2807", "leaflet": "2854.779,  2524.49", "pinType": "Medical", "mapRef": "Map Ref.: H09 (NV)", "type": "Medical", "description": "One of the more trustworthy places to be healed."},</v>
      </c>
    </row>
    <row r="429" spans="1:14" ht="30" x14ac:dyDescent="0.25">
      <c r="A429" s="7" t="s">
        <v>912</v>
      </c>
      <c r="B429" s="7" t="s">
        <v>1187</v>
      </c>
      <c r="C429" s="6">
        <v>3635</v>
      </c>
      <c r="D429" s="6">
        <v>4556</v>
      </c>
      <c r="E429" s="6" t="str">
        <f>IFERROR(VLOOKUP($A429,tWA[],5,FALSE),"--")</f>
        <v>--</v>
      </c>
      <c r="F429" s="6" t="str">
        <f>IFERROR(VLOOKUP($A429,tWA[],6,FALSE),"--")</f>
        <v>--</v>
      </c>
      <c r="G429" s="18" t="s">
        <v>2133</v>
      </c>
      <c r="H429" s="18">
        <f t="shared" si="18"/>
        <v>2681.3089999999997</v>
      </c>
      <c r="I429" s="18" t="str">
        <f t="shared" si="19"/>
        <v>2681.309,  3709.184</v>
      </c>
      <c r="J429" s="6" t="s">
        <v>1204</v>
      </c>
      <c r="K429" s="6" t="s">
        <v>914</v>
      </c>
      <c r="L429" s="6" t="s">
        <v>913</v>
      </c>
      <c r="M429" s="11" t="s">
        <v>1226</v>
      </c>
      <c r="N429" s="7" t="str">
        <f t="shared" si="20"/>
        <v>{"name": "The House of Lionel", "map": "Haven", "fCoords": "3635, 4556", "waCoords": "--, --", "leaflet": "2681.309,  3709.184", "pinType": "Inns &amp; Taverns", "mapRef": "Map Ref.: L08 (OI)", "type": "Inn (Caravanserai)", "description": ""},</v>
      </c>
    </row>
    <row r="430" spans="1:14" ht="30" x14ac:dyDescent="0.25">
      <c r="A430" s="7" t="s">
        <v>1178</v>
      </c>
      <c r="B430" s="7" t="s">
        <v>1187</v>
      </c>
      <c r="C430" s="6">
        <v>4650</v>
      </c>
      <c r="D430" s="6">
        <v>6259</v>
      </c>
      <c r="E430" s="6" t="str">
        <f>IFERROR(VLOOKUP($A430,tWA[],5,FALSE),"--")</f>
        <v>--</v>
      </c>
      <c r="F430" s="6" t="str">
        <f>IFERROR(VLOOKUP($A430,tWA[],6,FALSE),"--")</f>
        <v>--</v>
      </c>
      <c r="G430" s="18" t="s">
        <v>2134</v>
      </c>
      <c r="H430" s="18">
        <f t="shared" si="18"/>
        <v>943.55399999999997</v>
      </c>
      <c r="I430" s="18" t="str">
        <f t="shared" si="19"/>
        <v>943.554,  4744.898</v>
      </c>
      <c r="J430" s="6" t="s">
        <v>70</v>
      </c>
      <c r="K430" s="6" t="s">
        <v>915</v>
      </c>
      <c r="L430" s="6" t="s">
        <v>369</v>
      </c>
      <c r="M430" s="11" t="s">
        <v>1226</v>
      </c>
      <c r="N430" s="7" t="str">
        <f t="shared" si="20"/>
        <v>{"name": "The House of Mordecai - Healer", "map": "Haven", "fCoords": "4650, 6259", "waCoords": "--, --", "leaflet": "943.554,  4744.898", "pinType": "Residence", "mapRef": "Map Ref.: P03 (FQ)", "type": "House", "description": ""},</v>
      </c>
    </row>
    <row r="431" spans="1:14" ht="30" x14ac:dyDescent="0.25">
      <c r="A431" s="7" t="s">
        <v>1179</v>
      </c>
      <c r="B431" s="7" t="s">
        <v>1187</v>
      </c>
      <c r="C431" s="6">
        <v>3638</v>
      </c>
      <c r="D431" s="6">
        <v>6154</v>
      </c>
      <c r="E431" s="6" t="str">
        <f>IFERROR(VLOOKUP($A431,tWA[],5,FALSE),"--")</f>
        <v>--</v>
      </c>
      <c r="F431" s="6" t="str">
        <f>IFERROR(VLOOKUP($A431,tWA[],6,FALSE),"--")</f>
        <v>--</v>
      </c>
      <c r="G431" s="18" t="s">
        <v>2135</v>
      </c>
      <c r="H431" s="18">
        <f t="shared" si="18"/>
        <v>1050.6969999999999</v>
      </c>
      <c r="I431" s="18" t="str">
        <f t="shared" si="19"/>
        <v>1050.697,  3712.245</v>
      </c>
      <c r="J431" s="6" t="s">
        <v>70</v>
      </c>
      <c r="K431" s="6" t="s">
        <v>916</v>
      </c>
      <c r="L431" s="6" t="s">
        <v>132</v>
      </c>
      <c r="M431" s="11" t="s">
        <v>1226</v>
      </c>
      <c r="N431" s="7" t="str">
        <f t="shared" si="20"/>
        <v>{"name": "The House of Mr. Rasputin", "map": "Haven", "fCoords": "3638, 6154", "waCoords": "--, --", "leaflet": "1050.697,  3712.245", "pinType": "Residence", "mapRef": "Map Ref.: L03 (EU)", "type": "Large House", "description": ""},</v>
      </c>
    </row>
    <row r="432" spans="1:14" ht="45" x14ac:dyDescent="0.25">
      <c r="A432" s="7" t="s">
        <v>917</v>
      </c>
      <c r="B432" s="7" t="s">
        <v>1187</v>
      </c>
      <c r="C432" s="6">
        <v>5780</v>
      </c>
      <c r="D432" s="6">
        <v>2203</v>
      </c>
      <c r="E432" s="6" t="str">
        <f>IFERROR(VLOOKUP($A432,tWA[],5,FALSE),"--")</f>
        <v>5783</v>
      </c>
      <c r="F432" s="6" t="str">
        <f>IFERROR(VLOOKUP($A432,tWA[],6,FALSE),"--")</f>
        <v>4967</v>
      </c>
      <c r="G432" s="18" t="s">
        <v>2136</v>
      </c>
      <c r="H432" s="18">
        <f t="shared" si="18"/>
        <v>5082.33</v>
      </c>
      <c r="I432" s="18" t="str">
        <f t="shared" si="19"/>
        <v>5082.33,  5897.959</v>
      </c>
      <c r="J432" s="6" t="s">
        <v>1204</v>
      </c>
      <c r="K432" s="6" t="s">
        <v>918</v>
      </c>
      <c r="L432" s="6" t="s">
        <v>16</v>
      </c>
      <c r="M432" s="11" t="s">
        <v>1363</v>
      </c>
      <c r="N432" s="7" t="str">
        <f t="shared" si="20"/>
        <v>{"name": "The Inn of the Seven Sisters", "map": "Haven", "fCoords": "5780, 2203", "waCoords": "5783, 4967", "leaflet": "5082.33,  5897.959", "pinType": "Inns &amp; Taverns", "mapRef": "Map Ref.: T16 (GM)", "type": "Inn", "description": "One of the more well known inns/taverns in haven"},</v>
      </c>
    </row>
    <row r="433" spans="1:14" ht="30" x14ac:dyDescent="0.25">
      <c r="A433" s="7" t="s">
        <v>919</v>
      </c>
      <c r="B433" s="7" t="s">
        <v>1187</v>
      </c>
      <c r="C433" s="6">
        <v>2343</v>
      </c>
      <c r="D433" s="6">
        <v>4264</v>
      </c>
      <c r="E433" s="6" t="str">
        <f>IFERROR(VLOOKUP($A433,tWA[],5,FALSE),"--")</f>
        <v>--</v>
      </c>
      <c r="F433" s="6" t="str">
        <f>IFERROR(VLOOKUP($A433,tWA[],6,FALSE),"--")</f>
        <v>--</v>
      </c>
      <c r="G433" s="18" t="s">
        <v>2137</v>
      </c>
      <c r="H433" s="18">
        <f t="shared" si="18"/>
        <v>2979.268</v>
      </c>
      <c r="I433" s="18" t="str">
        <f t="shared" si="19"/>
        <v>2979.268,  2390.816</v>
      </c>
      <c r="J433" s="6" t="s">
        <v>1218</v>
      </c>
      <c r="K433" s="6" t="s">
        <v>920</v>
      </c>
      <c r="L433" s="6" t="s">
        <v>241</v>
      </c>
      <c r="M433" s="11" t="s">
        <v>1226</v>
      </c>
      <c r="N433" s="7" t="str">
        <f t="shared" si="20"/>
        <v>{"name": "The Invisible Shop", "map": "Haven", "fCoords": "2343, 4264", "waCoords": "--, --", "leaflet": "2979.268,  2390.816", "pinType": "Shopping", "mapRef": "Map Ref.: H09 (NM)", "type": "Magic", "description": ""},</v>
      </c>
    </row>
    <row r="434" spans="1:14" ht="30" x14ac:dyDescent="0.25">
      <c r="A434" s="7" t="s">
        <v>921</v>
      </c>
      <c r="B434" s="7" t="s">
        <v>1187</v>
      </c>
      <c r="C434" s="6">
        <v>1029</v>
      </c>
      <c r="D434" s="6">
        <v>4982</v>
      </c>
      <c r="E434" s="6" t="str">
        <f>IFERROR(VLOOKUP($A434,tWA[],5,FALSE),"--")</f>
        <v>--</v>
      </c>
      <c r="F434" s="6" t="str">
        <f>IFERROR(VLOOKUP($A434,tWA[],6,FALSE),"--")</f>
        <v>--</v>
      </c>
      <c r="G434" s="18" t="s">
        <v>2138</v>
      </c>
      <c r="H434" s="18">
        <f t="shared" si="18"/>
        <v>2246.6149999999998</v>
      </c>
      <c r="I434" s="18" t="str">
        <f t="shared" si="19"/>
        <v>2246.615,  1050.</v>
      </c>
      <c r="J434" s="6" t="s">
        <v>1204</v>
      </c>
      <c r="K434" s="6" t="s">
        <v>922</v>
      </c>
      <c r="L434" s="6" t="s">
        <v>68</v>
      </c>
      <c r="M434" s="11" t="s">
        <v>1226</v>
      </c>
      <c r="N434" s="7" t="str">
        <f t="shared" si="20"/>
        <v>{"name": "The Iron Horse", "map": "Haven", "fCoords": "1029, 4982", "waCoords": "--, --", "leaflet": "2246.615,  1050.", "pinType": "Inns &amp; Taverns", "mapRef": "Map Ref.: C07 (PP)", "type": "Tavern", "description": ""},</v>
      </c>
    </row>
    <row r="435" spans="1:14" ht="30" x14ac:dyDescent="0.25">
      <c r="A435" s="7" t="s">
        <v>923</v>
      </c>
      <c r="B435" s="7" t="s">
        <v>1187</v>
      </c>
      <c r="C435" s="6">
        <v>504</v>
      </c>
      <c r="D435" s="6">
        <v>3579</v>
      </c>
      <c r="E435" s="6" t="str">
        <f>IFERROR(VLOOKUP($A435,tWA[],5,FALSE),"--")</f>
        <v>--</v>
      </c>
      <c r="F435" s="6" t="str">
        <f>IFERROR(VLOOKUP($A435,tWA[],6,FALSE),"--")</f>
        <v>--</v>
      </c>
      <c r="G435" s="18" t="s">
        <v>2139</v>
      </c>
      <c r="H435" s="18">
        <f t="shared" si="18"/>
        <v>3678.248</v>
      </c>
      <c r="I435" s="18" t="str">
        <f t="shared" si="19"/>
        <v>3678.248,  514.286</v>
      </c>
      <c r="J435" s="6" t="s">
        <v>1218</v>
      </c>
      <c r="K435" s="6" t="s">
        <v>924</v>
      </c>
      <c r="L435" s="6" t="s">
        <v>30</v>
      </c>
      <c r="M435" s="11" t="s">
        <v>1226</v>
      </c>
      <c r="N435" s="7" t="str">
        <f t="shared" si="20"/>
        <v>{"name": "The Ironmongery", "map": "Haven", "fCoords": "504, 3579", "waCoords": "--, --", "leaflet": "3678.248,  514.286", "pinType": "Shopping", "mapRef": "Map Ref.: A12 (KJ)", "type": "Metalwork", "description": ""},</v>
      </c>
    </row>
    <row r="436" spans="1:14" ht="45" x14ac:dyDescent="0.25">
      <c r="A436" s="7" t="s">
        <v>925</v>
      </c>
      <c r="B436" s="7" t="s">
        <v>1187</v>
      </c>
      <c r="C436" s="6">
        <v>1177</v>
      </c>
      <c r="D436" s="6">
        <v>4716</v>
      </c>
      <c r="E436" s="6" t="str">
        <f>IFERROR(VLOOKUP($A436,tWA[],5,FALSE),"--")</f>
        <v>1192</v>
      </c>
      <c r="F436" s="6" t="str">
        <f>IFERROR(VLOOKUP($A436,tWA[],6,FALSE),"--")</f>
        <v>2460</v>
      </c>
      <c r="G436" s="18" t="s">
        <v>2140</v>
      </c>
      <c r="H436" s="18">
        <f t="shared" si="18"/>
        <v>2518.0439999999999</v>
      </c>
      <c r="I436" s="18" t="str">
        <f t="shared" si="19"/>
        <v>2518.044,  1201.02</v>
      </c>
      <c r="J436" s="6" t="s">
        <v>1204</v>
      </c>
      <c r="K436" s="6" t="s">
        <v>926</v>
      </c>
      <c r="L436" s="6" t="s">
        <v>16</v>
      </c>
      <c r="M436" s="11" t="s">
        <v>1363</v>
      </c>
      <c r="N436" s="7" t="str">
        <f t="shared" si="20"/>
        <v>{"name": "The Jumping Jade", "map": "Haven", "fCoords": "1177, 4716", "waCoords": "1192, 2460", "leaflet": "2518.044,  1201.02", "pinType": "Inns &amp; Taverns", "mapRef": "Map Ref.: D08 (PH)", "type": "Inn", "description": "One of the more well known inns/taverns in haven"},</v>
      </c>
    </row>
    <row r="437" spans="1:14" ht="30" x14ac:dyDescent="0.25">
      <c r="A437" s="7" t="s">
        <v>927</v>
      </c>
      <c r="B437" s="7" t="s">
        <v>1187</v>
      </c>
      <c r="C437" s="6">
        <v>1668</v>
      </c>
      <c r="D437" s="6">
        <v>3199</v>
      </c>
      <c r="E437" s="6" t="str">
        <f>IFERROR(VLOOKUP($A437,tWA[],5,FALSE),"--")</f>
        <v>--</v>
      </c>
      <c r="F437" s="6" t="str">
        <f>IFERROR(VLOOKUP($A437,tWA[],6,FALSE),"--")</f>
        <v>--</v>
      </c>
      <c r="G437" s="18" t="s">
        <v>2141</v>
      </c>
      <c r="H437" s="18">
        <f t="shared" si="18"/>
        <v>4066.0029999999997</v>
      </c>
      <c r="I437" s="18" t="str">
        <f t="shared" si="19"/>
        <v>4066.003,  1702.041</v>
      </c>
      <c r="J437" s="6" t="s">
        <v>1218</v>
      </c>
      <c r="K437" s="6" t="s">
        <v>928</v>
      </c>
      <c r="L437" s="6" t="s">
        <v>140</v>
      </c>
      <c r="M437" s="11" t="s">
        <v>1226</v>
      </c>
      <c r="N437" s="7" t="str">
        <f t="shared" si="20"/>
        <v>{"name": "The Kitchen Cabinet", "map": "Haven", "fCoords": "1668, 3199", "waCoords": "--, --", "leaflet": "4066.003,  1702.041", "pinType": "Shopping", "mapRef": "Map Ref.: E13 (IU)", "type": "Carpenter", "description": ""},</v>
      </c>
    </row>
    <row r="438" spans="1:14" ht="30" x14ac:dyDescent="0.25">
      <c r="A438" s="7" t="s">
        <v>929</v>
      </c>
      <c r="B438" s="7" t="s">
        <v>1187</v>
      </c>
      <c r="C438" s="6">
        <v>2853</v>
      </c>
      <c r="D438" s="6">
        <v>5374</v>
      </c>
      <c r="E438" s="6" t="str">
        <f>IFERROR(VLOOKUP($A438,tWA[],5,FALSE),"--")</f>
        <v>--</v>
      </c>
      <c r="F438" s="6" t="str">
        <f>IFERROR(VLOOKUP($A438,tWA[],6,FALSE),"--")</f>
        <v>--</v>
      </c>
      <c r="G438" s="18" t="s">
        <v>2142</v>
      </c>
      <c r="H438" s="18">
        <f t="shared" si="18"/>
        <v>1846.615</v>
      </c>
      <c r="I438" s="18" t="str">
        <f t="shared" si="19"/>
        <v>1846.615,  2911.224</v>
      </c>
      <c r="J438" s="6" t="s">
        <v>1204</v>
      </c>
      <c r="K438" s="6" t="s">
        <v>930</v>
      </c>
      <c r="L438" s="6" t="s">
        <v>68</v>
      </c>
      <c r="M438" s="11" t="s">
        <v>1226</v>
      </c>
      <c r="N438" s="7" t="str">
        <f t="shared" si="20"/>
        <v>{"name": "The Knighte Oute", "map": "Haven", "fCoords": "2853, 5374", "waCoords": "--, --", "leaflet": "1846.615,  2911.224", "pinType": "Inns &amp; Taverns", "mapRef": "Map Ref.: I06 (OT)", "type": "Tavern", "description": ""},</v>
      </c>
    </row>
    <row r="439" spans="1:14" ht="30" x14ac:dyDescent="0.25">
      <c r="A439" s="7" t="s">
        <v>931</v>
      </c>
      <c r="B439" s="7" t="s">
        <v>1187</v>
      </c>
      <c r="C439" s="6">
        <v>1528</v>
      </c>
      <c r="D439" s="6">
        <v>4312</v>
      </c>
      <c r="E439" s="6" t="str">
        <f>IFERROR(VLOOKUP($A439,tWA[],5,FALSE),"--")</f>
        <v>1527</v>
      </c>
      <c r="F439" s="6" t="str">
        <f>IFERROR(VLOOKUP($A439,tWA[],6,FALSE),"--")</f>
        <v>2874</v>
      </c>
      <c r="G439" s="18" t="s">
        <v>2143</v>
      </c>
      <c r="H439" s="18">
        <f t="shared" si="18"/>
        <v>2930.2889999999998</v>
      </c>
      <c r="I439" s="18" t="str">
        <f t="shared" si="19"/>
        <v>2930.289,  1559.184</v>
      </c>
      <c r="J439" s="6" t="s">
        <v>1197</v>
      </c>
      <c r="K439" s="6" t="s">
        <v>932</v>
      </c>
      <c r="L439" s="6" t="s">
        <v>442</v>
      </c>
      <c r="M439" s="11" t="s">
        <v>1343</v>
      </c>
      <c r="N439" s="7" t="str">
        <f t="shared" si="20"/>
        <v>{"name": "The Lamb and Lime", "map": "Haven", "fCoords": "1528, 4312", "waCoords": "1527, 2874", "leaflet": "2930.289,  1559.184", "pinType": "Dining", "mapRef": "Map Ref.: E09 (TO)", "type": "Restaurant", "description": "One of the finer placest to eat in the city"},</v>
      </c>
    </row>
    <row r="440" spans="1:14" ht="30" x14ac:dyDescent="0.25">
      <c r="A440" s="7" t="s">
        <v>933</v>
      </c>
      <c r="B440" s="7" t="s">
        <v>1187</v>
      </c>
      <c r="C440" s="6">
        <v>1817</v>
      </c>
      <c r="D440" s="6">
        <v>3416</v>
      </c>
      <c r="E440" s="6" t="str">
        <f>IFERROR(VLOOKUP($A440,tWA[],5,FALSE),"--")</f>
        <v>--</v>
      </c>
      <c r="F440" s="6" t="str">
        <f>IFERROR(VLOOKUP($A440,tWA[],6,FALSE),"--")</f>
        <v>--</v>
      </c>
      <c r="G440" s="18" t="s">
        <v>2144</v>
      </c>
      <c r="H440" s="18">
        <f t="shared" si="18"/>
        <v>3844.5740000000001</v>
      </c>
      <c r="I440" s="18" t="str">
        <f t="shared" si="19"/>
        <v>3844.574,  1854.082</v>
      </c>
      <c r="J440" s="6" t="s">
        <v>1204</v>
      </c>
      <c r="K440" s="6" t="s">
        <v>934</v>
      </c>
      <c r="L440" s="6" t="s">
        <v>68</v>
      </c>
      <c r="M440" s="11" t="s">
        <v>1226</v>
      </c>
      <c r="N440" s="7" t="str">
        <f t="shared" si="20"/>
        <v>{"name": "The Leaf and Jar", "map": "Haven", "fCoords": "1817, 3416", "waCoords": "--, --", "leaflet": "3844.574,  1854.082", "pinType": "Inns &amp; Taverns", "mapRef": "Map Ref.: F12 (IM)", "type": "Tavern", "description": ""},</v>
      </c>
    </row>
    <row r="441" spans="1:14" ht="30" x14ac:dyDescent="0.25">
      <c r="A441" s="7" t="s">
        <v>935</v>
      </c>
      <c r="B441" s="7" t="s">
        <v>1187</v>
      </c>
      <c r="C441" s="6">
        <v>1935</v>
      </c>
      <c r="D441" s="6">
        <v>3919</v>
      </c>
      <c r="E441" s="6" t="str">
        <f>IFERROR(VLOOKUP($A441,tWA[],5,FALSE),"--")</f>
        <v>--</v>
      </c>
      <c r="F441" s="6" t="str">
        <f>IFERROR(VLOOKUP($A441,tWA[],6,FALSE),"--")</f>
        <v>--</v>
      </c>
      <c r="G441" s="18" t="s">
        <v>2145</v>
      </c>
      <c r="H441" s="18">
        <f t="shared" si="18"/>
        <v>3331.3089999999997</v>
      </c>
      <c r="I441" s="18" t="str">
        <f t="shared" si="19"/>
        <v>3331.309,  1974.49</v>
      </c>
      <c r="J441" s="6" t="s">
        <v>338</v>
      </c>
      <c r="K441" s="6" t="s">
        <v>936</v>
      </c>
      <c r="L441" s="6" t="s">
        <v>338</v>
      </c>
      <c r="M441" s="11" t="s">
        <v>1226</v>
      </c>
      <c r="N441" s="7" t="str">
        <f t="shared" si="20"/>
        <v>{"name": "The Library", "map": "Haven", "fCoords": "1935, 3919", "waCoords": "--, --", "leaflet": "3331.309,  1974.49", "pinType": "Government", "mapRef": "Map Ref.: F10 (JW)", "type": "Government", "description": ""},</v>
      </c>
    </row>
    <row r="442" spans="1:14" ht="45" x14ac:dyDescent="0.25">
      <c r="A442" s="7" t="s">
        <v>937</v>
      </c>
      <c r="B442" s="7" t="s">
        <v>1187</v>
      </c>
      <c r="C442" s="6">
        <v>4133</v>
      </c>
      <c r="D442" s="6">
        <v>5557</v>
      </c>
      <c r="E442" s="6" t="str">
        <f>IFERROR(VLOOKUP($A442,tWA[],5,FALSE),"--")</f>
        <v>4147</v>
      </c>
      <c r="F442" s="6" t="str">
        <f>IFERROR(VLOOKUP($A442,tWA[],6,FALSE),"--")</f>
        <v>1627</v>
      </c>
      <c r="G442" s="18" t="s">
        <v>2146</v>
      </c>
      <c r="H442" s="18">
        <f t="shared" si="18"/>
        <v>1659.8809999999999</v>
      </c>
      <c r="I442" s="18" t="str">
        <f t="shared" si="19"/>
        <v>1659.881,  4217.347</v>
      </c>
      <c r="J442" s="6" t="s">
        <v>1204</v>
      </c>
      <c r="K442" s="6" t="s">
        <v>938</v>
      </c>
      <c r="L442" s="6" t="s">
        <v>16</v>
      </c>
      <c r="M442" s="11" t="s">
        <v>1363</v>
      </c>
      <c r="N442" s="7" t="str">
        <f t="shared" si="20"/>
        <v>{"name": "The Lonely Lecher", "map": "Haven", "fCoords": "4133, 5557", "waCoords": "4147, 1627", "leaflet": "1659.881,  4217.347", "pinType": "Inns &amp; Taverns", "mapRef": "Map Ref.: N05 (SD)", "type": "Inn", "description": "One of the more well known inns/taverns in haven"},</v>
      </c>
    </row>
    <row r="443" spans="1:14" ht="30" x14ac:dyDescent="0.25">
      <c r="A443" s="7" t="s">
        <v>939</v>
      </c>
      <c r="B443" s="7" t="s">
        <v>1187</v>
      </c>
      <c r="C443" s="6">
        <v>3857</v>
      </c>
      <c r="D443" s="6">
        <v>4868</v>
      </c>
      <c r="E443" s="6" t="str">
        <f>IFERROR(VLOOKUP($A443,tWA[],5,FALSE),"--")</f>
        <v>--</v>
      </c>
      <c r="F443" s="6" t="str">
        <f>IFERROR(VLOOKUP($A443,tWA[],6,FALSE),"--")</f>
        <v>--</v>
      </c>
      <c r="G443" s="18" t="s">
        <v>2147</v>
      </c>
      <c r="H443" s="18">
        <f t="shared" si="18"/>
        <v>2362.942</v>
      </c>
      <c r="I443" s="18" t="str">
        <f t="shared" si="19"/>
        <v>2362.942,  3935.714</v>
      </c>
      <c r="J443" s="6" t="s">
        <v>1199</v>
      </c>
      <c r="K443" s="6" t="s">
        <v>940</v>
      </c>
      <c r="L443" s="6" t="s">
        <v>19</v>
      </c>
      <c r="M443" s="11" t="s">
        <v>1226</v>
      </c>
      <c r="N443" s="7" t="str">
        <f t="shared" si="20"/>
        <v>{"name": "The Lover's Not", "map": "Haven", "fCoords": "3857, 4868", "waCoords": "--, --", "leaflet": "2362.942,  3935.714", "pinType": "Entertainment", "mapRef": "Map Ref.: M07 (EB)", "type": "Brothel", "description": ""},</v>
      </c>
    </row>
    <row r="444" spans="1:14" ht="45" x14ac:dyDescent="0.25">
      <c r="A444" s="7" t="s">
        <v>941</v>
      </c>
      <c r="B444" s="7" t="s">
        <v>1187</v>
      </c>
      <c r="C444" s="6">
        <v>4632</v>
      </c>
      <c r="D444" s="6">
        <v>2472</v>
      </c>
      <c r="E444" s="6" t="str">
        <f>IFERROR(VLOOKUP($A444,tWA[],5,FALSE),"--")</f>
        <v>4632</v>
      </c>
      <c r="F444" s="6" t="str">
        <f>IFERROR(VLOOKUP($A444,tWA[],6,FALSE),"--")</f>
        <v>4703</v>
      </c>
      <c r="G444" s="18" t="s">
        <v>2148</v>
      </c>
      <c r="H444" s="18">
        <f t="shared" si="18"/>
        <v>4807.84</v>
      </c>
      <c r="I444" s="18" t="str">
        <f t="shared" si="19"/>
        <v>4807.84,  4726.531</v>
      </c>
      <c r="J444" s="6" t="s">
        <v>1204</v>
      </c>
      <c r="K444" s="6" t="s">
        <v>942</v>
      </c>
      <c r="L444" s="6" t="s">
        <v>68</v>
      </c>
      <c r="M444" s="11" t="s">
        <v>1363</v>
      </c>
      <c r="N444" s="7" t="str">
        <f t="shared" si="20"/>
        <v>{"name": "The Lying Lawyer", "map": "Haven", "fCoords": "4632, 2472", "waCoords": "4632, 4703", "leaflet": "4807.84,  4726.531", "pinType": "Inns &amp; Taverns", "mapRef": "Map Ref.: P15 (GG)", "type": "Tavern", "description": "One of the more well known inns/taverns in haven"},</v>
      </c>
    </row>
    <row r="445" spans="1:14" ht="45" x14ac:dyDescent="0.25">
      <c r="A445" s="7" t="s">
        <v>943</v>
      </c>
      <c r="B445" s="7" t="s">
        <v>1187</v>
      </c>
      <c r="C445" s="6">
        <v>5530</v>
      </c>
      <c r="D445" s="6">
        <v>2215</v>
      </c>
      <c r="E445" s="6" t="str">
        <f>IFERROR(VLOOKUP($A445,tWA[],5,FALSE),"--")</f>
        <v>5559</v>
      </c>
      <c r="F445" s="6" t="str">
        <f>IFERROR(VLOOKUP($A445,tWA[],6,FALSE),"--")</f>
        <v>4957</v>
      </c>
      <c r="G445" s="18" t="s">
        <v>2149</v>
      </c>
      <c r="H445" s="18">
        <f t="shared" si="18"/>
        <v>5070.085</v>
      </c>
      <c r="I445" s="18" t="str">
        <f t="shared" si="19"/>
        <v>5070.085,  5642.857</v>
      </c>
      <c r="J445" s="6" t="s">
        <v>1204</v>
      </c>
      <c r="K445" s="6" t="s">
        <v>944</v>
      </c>
      <c r="L445" s="6" t="s">
        <v>16</v>
      </c>
      <c r="M445" s="11" t="s">
        <v>1363</v>
      </c>
      <c r="N445" s="7" t="str">
        <f t="shared" si="20"/>
        <v>{"name": "The Maid of Asdor", "map": "Haven", "fCoords": "5530, 2215", "waCoords": "5559, 4957", "leaflet": "5070.085,  5642.857", "pinType": "Inns &amp; Taverns", "mapRef": "Map Ref.: S16 (SE)", "type": "Inn", "description": "One of the more well known inns/taverns in haven"},</v>
      </c>
    </row>
    <row r="446" spans="1:14" ht="30" x14ac:dyDescent="0.25">
      <c r="A446" s="7" t="s">
        <v>945</v>
      </c>
      <c r="B446" s="7" t="s">
        <v>1187</v>
      </c>
      <c r="C446" s="6">
        <v>1338</v>
      </c>
      <c r="D446" s="6">
        <v>3611</v>
      </c>
      <c r="E446" s="6" t="str">
        <f>IFERROR(VLOOKUP($A446,tWA[],5,FALSE),"--")</f>
        <v>--</v>
      </c>
      <c r="F446" s="6" t="str">
        <f>IFERROR(VLOOKUP($A446,tWA[],6,FALSE),"--")</f>
        <v>--</v>
      </c>
      <c r="G446" s="18" t="s">
        <v>2150</v>
      </c>
      <c r="H446" s="18">
        <f t="shared" si="18"/>
        <v>3645.5949999999998</v>
      </c>
      <c r="I446" s="18" t="str">
        <f t="shared" si="19"/>
        <v>3645.595,  1365.306</v>
      </c>
      <c r="J446" s="6" t="s">
        <v>1204</v>
      </c>
      <c r="K446" s="6" t="s">
        <v>946</v>
      </c>
      <c r="L446" s="6" t="s">
        <v>16</v>
      </c>
      <c r="M446" s="11" t="s">
        <v>1226</v>
      </c>
      <c r="N446" s="7" t="str">
        <f t="shared" si="20"/>
        <v>{"name": "The Mallorn", "map": "Haven", "fCoords": "1338, 3611", "waCoords": "--, --", "leaflet": "3645.595,  1365.306", "pinType": "Inns &amp; Taverns", "mapRef": "Map Ref.: D11 (KW)", "type": "Inn", "description": ""},</v>
      </c>
    </row>
    <row r="447" spans="1:14" ht="45" x14ac:dyDescent="0.25">
      <c r="A447" s="7" t="s">
        <v>947</v>
      </c>
      <c r="B447" s="7" t="s">
        <v>1187</v>
      </c>
      <c r="C447" s="6">
        <v>6068</v>
      </c>
      <c r="D447" s="6">
        <v>1948</v>
      </c>
      <c r="E447" s="6" t="str">
        <f>IFERROR(VLOOKUP($A447,tWA[],5,FALSE),"--")</f>
        <v>6073</v>
      </c>
      <c r="F447" s="6" t="str">
        <f>IFERROR(VLOOKUP($A447,tWA[],6,FALSE),"--")</f>
        <v>5228</v>
      </c>
      <c r="G447" s="18" t="s">
        <v>2151</v>
      </c>
      <c r="H447" s="18">
        <f t="shared" si="18"/>
        <v>5342.5340000000006</v>
      </c>
      <c r="I447" s="18" t="str">
        <f t="shared" si="19"/>
        <v>5342.534,  6191.837</v>
      </c>
      <c r="J447" s="6" t="s">
        <v>1204</v>
      </c>
      <c r="K447" s="6" t="s">
        <v>948</v>
      </c>
      <c r="L447" s="6" t="s">
        <v>16</v>
      </c>
      <c r="M447" s="11" t="s">
        <v>1363</v>
      </c>
      <c r="N447" s="7" t="str">
        <f t="shared" si="20"/>
        <v>{"name": "The Man-at-Arms", "map": "Haven", "fCoords": "6068, 1948", "waCoords": "6073, 5228", "leaflet": "5342.534,  6191.837", "pinType": "Inns &amp; Taverns", "mapRef": "Map Ref.: U17 (SF)", "type": "Inn", "description": "One of the more well known inns/taverns in haven"},</v>
      </c>
    </row>
    <row r="448" spans="1:14" ht="45" x14ac:dyDescent="0.25">
      <c r="A448" s="7" t="s">
        <v>949</v>
      </c>
      <c r="B448" s="7" t="s">
        <v>1187</v>
      </c>
      <c r="C448" s="6">
        <v>3056</v>
      </c>
      <c r="D448" s="6">
        <v>5495</v>
      </c>
      <c r="E448" s="6" t="str">
        <f>IFERROR(VLOOKUP($A448,tWA[],5,FALSE),"--")</f>
        <v>3055</v>
      </c>
      <c r="F448" s="6" t="str">
        <f>IFERROR(VLOOKUP($A448,tWA[],6,FALSE),"--")</f>
        <v>1690</v>
      </c>
      <c r="G448" s="18" t="s">
        <v>2152</v>
      </c>
      <c r="H448" s="18">
        <f t="shared" si="18"/>
        <v>1723.146</v>
      </c>
      <c r="I448" s="18" t="str">
        <f t="shared" si="19"/>
        <v>1723.146,  3118.367</v>
      </c>
      <c r="J448" s="6" t="s">
        <v>1204</v>
      </c>
      <c r="K448" s="6" t="s">
        <v>950</v>
      </c>
      <c r="L448" s="6" t="s">
        <v>16</v>
      </c>
      <c r="M448" s="11" t="s">
        <v>1363</v>
      </c>
      <c r="N448" s="7" t="str">
        <f t="shared" si="20"/>
        <v>{"name": "The Market Inn", "map": "Haven", "fCoords": "3056, 5495", "waCoords": "3055, 1690", "leaflet": "1723.146,  3118.367", "pinType": "Inns &amp; Taverns", "mapRef": "Map Ref.: J05 (PB)", "type": "Inn", "description": "One of the more well known inns/taverns in haven"},</v>
      </c>
    </row>
    <row r="449" spans="1:14" ht="30" x14ac:dyDescent="0.25">
      <c r="A449" s="7" t="s">
        <v>951</v>
      </c>
      <c r="B449" s="7" t="s">
        <v>1187</v>
      </c>
      <c r="C449" s="6">
        <v>707</v>
      </c>
      <c r="D449" s="6">
        <v>3546</v>
      </c>
      <c r="E449" s="6" t="str">
        <f>IFERROR(VLOOKUP($A449,tWA[],5,FALSE),"--")</f>
        <v>--</v>
      </c>
      <c r="F449" s="6" t="str">
        <f>IFERROR(VLOOKUP($A449,tWA[],6,FALSE),"--")</f>
        <v>--</v>
      </c>
      <c r="G449" s="18" t="s">
        <v>2153</v>
      </c>
      <c r="H449" s="18">
        <f t="shared" si="18"/>
        <v>3711.9209999999998</v>
      </c>
      <c r="I449" s="18" t="str">
        <f t="shared" si="19"/>
        <v>3711.921,  721.429</v>
      </c>
      <c r="J449" s="6" t="s">
        <v>1218</v>
      </c>
      <c r="K449" s="6" t="s">
        <v>952</v>
      </c>
      <c r="L449" s="6" t="s">
        <v>62</v>
      </c>
      <c r="M449" s="11" t="s">
        <v>1226</v>
      </c>
      <c r="N449" s="7" t="str">
        <f t="shared" si="20"/>
        <v>{"name": "The Mask Maker's Shop", "map": "Haven", "fCoords": "707, 3546", "waCoords": "--, --", "leaflet": "3711.921,  721.429", "pinType": "Shopping", "mapRef": "Map Ref.: B12 (KT)", "type": "General Clothing", "description": ""},</v>
      </c>
    </row>
    <row r="450" spans="1:14" ht="30" x14ac:dyDescent="0.25">
      <c r="A450" s="7" t="s">
        <v>953</v>
      </c>
      <c r="B450" s="7" t="s">
        <v>1187</v>
      </c>
      <c r="C450" s="6">
        <v>2155</v>
      </c>
      <c r="D450" s="6">
        <v>4982</v>
      </c>
      <c r="E450" s="6" t="str">
        <f>IFERROR(VLOOKUP($A450,tWA[],5,FALSE),"--")</f>
        <v>--</v>
      </c>
      <c r="F450" s="6" t="str">
        <f>IFERROR(VLOOKUP($A450,tWA[],6,FALSE),"--")</f>
        <v>--</v>
      </c>
      <c r="G450" s="18" t="s">
        <v>2154</v>
      </c>
      <c r="H450" s="18">
        <f t="shared" si="18"/>
        <v>2246.6149999999998</v>
      </c>
      <c r="I450" s="18" t="str">
        <f t="shared" si="19"/>
        <v>2246.615,  2198.98</v>
      </c>
      <c r="J450" s="6" t="s">
        <v>1218</v>
      </c>
      <c r="K450" s="6" t="s">
        <v>954</v>
      </c>
      <c r="L450" s="6" t="s">
        <v>177</v>
      </c>
      <c r="M450" s="11" t="s">
        <v>1226</v>
      </c>
      <c r="N450" s="7" t="str">
        <f t="shared" si="20"/>
        <v>{"name": "The Master Puppeteer", "map": "Haven", "fCoords": "2155, 4982", "waCoords": "--, --", "leaflet": "2246.615,  2198.98", "pinType": "Shopping", "mapRef": "Map Ref.: G07 (MF)", "type": "Toymaker", "description": ""},</v>
      </c>
    </row>
    <row r="451" spans="1:14" ht="30" x14ac:dyDescent="0.25">
      <c r="A451" s="7" t="s">
        <v>955</v>
      </c>
      <c r="B451" s="7" t="s">
        <v>1187</v>
      </c>
      <c r="C451" s="6">
        <v>471</v>
      </c>
      <c r="D451" s="6">
        <v>3751</v>
      </c>
      <c r="E451" s="6" t="str">
        <f>IFERROR(VLOOKUP($A451,tWA[],5,FALSE),"--")</f>
        <v>--</v>
      </c>
      <c r="F451" s="6" t="str">
        <f>IFERROR(VLOOKUP($A451,tWA[],6,FALSE),"--")</f>
        <v>--</v>
      </c>
      <c r="G451" s="18" t="s">
        <v>2155</v>
      </c>
      <c r="H451" s="18">
        <f t="shared" si="18"/>
        <v>3502.7379999999998</v>
      </c>
      <c r="I451" s="18" t="str">
        <f t="shared" si="19"/>
        <v>3502.738,  480.612</v>
      </c>
      <c r="J451" s="6" t="s">
        <v>1218</v>
      </c>
      <c r="K451" s="6" t="s">
        <v>956</v>
      </c>
      <c r="L451" s="6" t="s">
        <v>306</v>
      </c>
      <c r="M451" s="11" t="s">
        <v>1226</v>
      </c>
      <c r="N451" s="7" t="str">
        <f t="shared" si="20"/>
        <v>{"name": "The Master's Quill", "map": "Haven", "fCoords": "471, 3751", "waCoords": "--, --", "leaflet": "3502.738,  480.612", "pinType": "Shopping", "mapRef": "Map Ref.: A11 (KO)", "type": "Written Word", "description": ""},</v>
      </c>
    </row>
    <row r="452" spans="1:14" ht="30" x14ac:dyDescent="0.25">
      <c r="A452" s="7" t="s">
        <v>957</v>
      </c>
      <c r="B452" s="7" t="s">
        <v>1187</v>
      </c>
      <c r="C452" s="6">
        <v>1623</v>
      </c>
      <c r="D452" s="6">
        <v>3205</v>
      </c>
      <c r="E452" s="6" t="str">
        <f>IFERROR(VLOOKUP($A452,tWA[],5,FALSE),"--")</f>
        <v>--</v>
      </c>
      <c r="F452" s="6" t="str">
        <f>IFERROR(VLOOKUP($A452,tWA[],6,FALSE),"--")</f>
        <v>--</v>
      </c>
      <c r="G452" s="18" t="s">
        <v>2156</v>
      </c>
      <c r="H452" s="18">
        <f t="shared" ref="H452:H515" si="21">VALUE(_xlfn.TEXTBEFORE(G452,","))- 16.65</f>
        <v>4059.8809999999999</v>
      </c>
      <c r="I452" s="18" t="str">
        <f t="shared" ref="I452:I515" si="22">TEXT(H452, "####.###") &amp; ", " &amp; _xlfn.TEXTAFTER(G452,",")</f>
        <v>4059.881,  1656.122</v>
      </c>
      <c r="J452" s="6" t="s">
        <v>1218</v>
      </c>
      <c r="K452" s="6" t="s">
        <v>958</v>
      </c>
      <c r="L452" s="6" t="s">
        <v>54</v>
      </c>
      <c r="M452" s="11" t="s">
        <v>1226</v>
      </c>
      <c r="N452" s="7" t="str">
        <f t="shared" ref="N452:N515" si="23">"{""name"": """&amp;A452&amp;""", " &amp;
"""map"": """&amp;B452&amp;""", " &amp;
"""fCoords"": """&amp;C452&amp;", "&amp;D452&amp;""", " &amp;
"""waCoords"": """&amp;E452&amp;", "&amp;F452&amp;""", " &amp;
"""leaflet"": """ &amp; I452 &amp; """, " &amp;
"""pinType"": """ &amp; J452 &amp; """, " &amp;
"""mapRef"": """ &amp; K452 &amp; """, " &amp;
"""type"": """ &amp; L452 &amp; """, " &amp;
"""description"": """ &amp; M452 &amp; """},"</f>
        <v>{"name": "The Mathom House", "map": "Haven", "fCoords": "1623, 3205", "waCoords": "--, --", "leaflet": "4059.881,  1656.122", "pinType": "Shopping", "mapRef": "Map Ref.: E13 (IV)", "type": "General Goods", "description": ""},</v>
      </c>
    </row>
    <row r="453" spans="1:14" ht="30" x14ac:dyDescent="0.25">
      <c r="A453" s="7" t="s">
        <v>959</v>
      </c>
      <c r="B453" s="7" t="s">
        <v>1187</v>
      </c>
      <c r="C453" s="6">
        <v>5952</v>
      </c>
      <c r="D453" s="6">
        <v>5206</v>
      </c>
      <c r="E453" s="6" t="str">
        <f>IFERROR(VLOOKUP($A453,tWA[],5,FALSE),"--")</f>
        <v>--</v>
      </c>
      <c r="F453" s="6" t="str">
        <f>IFERROR(VLOOKUP($A453,tWA[],6,FALSE),"--")</f>
        <v>--</v>
      </c>
      <c r="G453" s="18" t="s">
        <v>2157</v>
      </c>
      <c r="H453" s="18">
        <f t="shared" si="21"/>
        <v>2018.0439999999999</v>
      </c>
      <c r="I453" s="18" t="str">
        <f t="shared" si="22"/>
        <v>2018.044,  6073.469</v>
      </c>
      <c r="J453" s="6" t="s">
        <v>1204</v>
      </c>
      <c r="K453" s="6" t="s">
        <v>960</v>
      </c>
      <c r="L453" s="6" t="s">
        <v>68</v>
      </c>
      <c r="M453" s="11" t="s">
        <v>1226</v>
      </c>
      <c r="N453" s="7" t="str">
        <f t="shared" si="23"/>
        <v>{"name": "The Mermaid", "map": "Haven", "fCoords": "5952, 5206", "waCoords": "--, --", "leaflet": "2018.044,  6073.469", "pinType": "Inns &amp; Taverns", "mapRef": "Map Ref.: T06 (AW)", "type": "Tavern", "description": ""},</v>
      </c>
    </row>
    <row r="454" spans="1:14" ht="30" x14ac:dyDescent="0.25">
      <c r="A454" s="7" t="s">
        <v>1125</v>
      </c>
      <c r="B454" s="7" t="s">
        <v>1187</v>
      </c>
      <c r="C454" s="6">
        <v>3544</v>
      </c>
      <c r="D454" s="6">
        <v>2467</v>
      </c>
      <c r="E454" s="6" t="str">
        <f>IFERROR(VLOOKUP($A454,tWA[],5,FALSE),"--")</f>
        <v>--</v>
      </c>
      <c r="F454" s="6" t="str">
        <f>IFERROR(VLOOKUP($A454,tWA[],6,FALSE),"--")</f>
        <v>--</v>
      </c>
      <c r="G454" s="18" t="s">
        <v>2158</v>
      </c>
      <c r="H454" s="18">
        <f t="shared" si="21"/>
        <v>4812.942</v>
      </c>
      <c r="I454" s="18" t="str">
        <f t="shared" si="22"/>
        <v>4812.942,  3616.327</v>
      </c>
      <c r="J454" s="6" t="s">
        <v>1204</v>
      </c>
      <c r="K454" s="6" t="s">
        <v>1126</v>
      </c>
      <c r="L454" s="6" t="s">
        <v>1125</v>
      </c>
      <c r="M454" s="11" t="s">
        <v>1226</v>
      </c>
      <c r="N454" s="7" t="str">
        <f t="shared" si="23"/>
        <v>{"name": "The Midnight Oil", "map": "Haven", "fCoords": "3544, 2467", "waCoords": "--, --", "leaflet": "4812.942,  3616.327", "pinType": "Inns &amp; Taverns", "mapRef": "Map Ref.: L15 (UF)", "type": "The Midnight Oil", "description": ""},</v>
      </c>
    </row>
    <row r="455" spans="1:14" ht="30" x14ac:dyDescent="0.25">
      <c r="A455" s="7" t="s">
        <v>961</v>
      </c>
      <c r="B455" s="7" t="s">
        <v>1187</v>
      </c>
      <c r="C455" s="6">
        <v>5146</v>
      </c>
      <c r="D455" s="6">
        <v>3046</v>
      </c>
      <c r="E455" s="6" t="str">
        <f>IFERROR(VLOOKUP($A455,tWA[],5,FALSE),"--")</f>
        <v>5156</v>
      </c>
      <c r="F455" s="6" t="str">
        <f>IFERROR(VLOOKUP($A455,tWA[],6,FALSE),"--")</f>
        <v>4107</v>
      </c>
      <c r="G455" s="18" t="s">
        <v>2159</v>
      </c>
      <c r="H455" s="18">
        <f t="shared" si="21"/>
        <v>4222.1260000000002</v>
      </c>
      <c r="I455" s="18" t="str">
        <f t="shared" si="22"/>
        <v>4222.126,  5251.02</v>
      </c>
      <c r="J455" s="6" t="s">
        <v>338</v>
      </c>
      <c r="K455" s="6" t="s">
        <v>962</v>
      </c>
      <c r="L455" s="6" t="s">
        <v>338</v>
      </c>
      <c r="M455" s="11" t="s">
        <v>1352</v>
      </c>
      <c r="N455" s="7" t="str">
        <f t="shared" si="23"/>
        <v>{"name": "The Mint", "map": "Haven", "fCoords": "5146, 3046", "waCoords": "5156, 4107", "leaflet": "4222.126,  5251.02", "pinType": "Government", "mapRef": "Map Ref.: Q13 (GE)", "type": "Government", "description": "Where coins and other valuables are struck"},</v>
      </c>
    </row>
    <row r="456" spans="1:14" ht="30" x14ac:dyDescent="0.25">
      <c r="A456" s="7" t="s">
        <v>963</v>
      </c>
      <c r="B456" s="7" t="s">
        <v>1187</v>
      </c>
      <c r="C456" s="6">
        <v>6114</v>
      </c>
      <c r="D456" s="6">
        <v>4887</v>
      </c>
      <c r="E456" s="6" t="str">
        <f>IFERROR(VLOOKUP($A456,tWA[],5,FALSE),"--")</f>
        <v>--</v>
      </c>
      <c r="F456" s="6" t="str">
        <f>IFERROR(VLOOKUP($A456,tWA[],6,FALSE),"--")</f>
        <v>--</v>
      </c>
      <c r="G456" s="18" t="s">
        <v>2160</v>
      </c>
      <c r="H456" s="18">
        <f t="shared" si="21"/>
        <v>2343.5540000000001</v>
      </c>
      <c r="I456" s="18" t="str">
        <f t="shared" si="22"/>
        <v>2343.554,  6238.776</v>
      </c>
      <c r="J456" s="6" t="s">
        <v>1218</v>
      </c>
      <c r="K456" s="6" t="s">
        <v>964</v>
      </c>
      <c r="L456" s="6" t="s">
        <v>208</v>
      </c>
      <c r="M456" s="11" t="s">
        <v>1226</v>
      </c>
      <c r="N456" s="7" t="str">
        <f t="shared" si="23"/>
        <v>{"name": "The Moneymonger", "map": "Haven", "fCoords": "6114, 4887", "waCoords": "--, --", "leaflet": "2343.554,  6238.776", "pinType": "Shopping", "mapRef": "Map Ref.: U07 (TK)", "type": "Pawnbroker", "description": ""},</v>
      </c>
    </row>
    <row r="457" spans="1:14" ht="30" x14ac:dyDescent="0.25">
      <c r="A457" s="7" t="s">
        <v>965</v>
      </c>
      <c r="B457" s="7" t="s">
        <v>1187</v>
      </c>
      <c r="C457" s="6">
        <v>6004</v>
      </c>
      <c r="D457" s="6">
        <v>5691</v>
      </c>
      <c r="E457" s="6" t="str">
        <f>IFERROR(VLOOKUP($A457,tWA[],5,FALSE),"--")</f>
        <v>6038</v>
      </c>
      <c r="F457" s="6" t="str">
        <f>IFERROR(VLOOKUP($A457,tWA[],6,FALSE),"--")</f>
        <v>1468</v>
      </c>
      <c r="G457" s="18" t="s">
        <v>2161</v>
      </c>
      <c r="H457" s="18">
        <f t="shared" si="21"/>
        <v>1523.146</v>
      </c>
      <c r="I457" s="18" t="str">
        <f t="shared" si="22"/>
        <v>1523.146,  6126.531</v>
      </c>
      <c r="J457" s="6" t="s">
        <v>338</v>
      </c>
      <c r="K457" s="6" t="s">
        <v>967</v>
      </c>
      <c r="L457" s="6" t="s">
        <v>966</v>
      </c>
      <c r="M457" s="11" t="s">
        <v>1353</v>
      </c>
      <c r="N457" s="7" t="str">
        <f t="shared" si="23"/>
        <v>{"name": "The Navy Yard of Haven", "map": "Haven", "fCoords": "6004, 5691", "waCoords": "6038, 1468", "leaflet": "1523.146,  6126.531", "pinType": "Government", "mapRef": "Map Ref.: T04 (AE)", "type": "Military", "description": "Naval docks"},</v>
      </c>
    </row>
    <row r="458" spans="1:14" ht="30" x14ac:dyDescent="0.25">
      <c r="A458" s="7" t="s">
        <v>968</v>
      </c>
      <c r="B458" s="7" t="s">
        <v>1187</v>
      </c>
      <c r="C458" s="6">
        <v>1044</v>
      </c>
      <c r="D458" s="6">
        <v>3552</v>
      </c>
      <c r="E458" s="6" t="str">
        <f>IFERROR(VLOOKUP($A458,tWA[],5,FALSE),"--")</f>
        <v>--</v>
      </c>
      <c r="F458" s="6" t="str">
        <f>IFERROR(VLOOKUP($A458,tWA[],6,FALSE),"--")</f>
        <v>--</v>
      </c>
      <c r="G458" s="18" t="s">
        <v>2162</v>
      </c>
      <c r="H458" s="18">
        <f t="shared" si="21"/>
        <v>3705.799</v>
      </c>
      <c r="I458" s="18" t="str">
        <f t="shared" si="22"/>
        <v>3705.799,  1065.306</v>
      </c>
      <c r="J458" s="6" t="s">
        <v>1218</v>
      </c>
      <c r="K458" s="6" t="s">
        <v>970</v>
      </c>
      <c r="L458" s="6" t="s">
        <v>969</v>
      </c>
      <c r="M458" s="11" t="s">
        <v>1226</v>
      </c>
      <c r="N458" s="7" t="str">
        <f t="shared" si="23"/>
        <v>{"name": "The Offices of Miller &amp; Co.", "map": "Haven", "fCoords": "1044, 3552", "waCoords": "--, --", "leaflet": "3705.799,  1065.306", "pinType": "Shopping", "mapRef": "Map Ref.: C12 (LE)", "type": "Cooper", "description": ""},</v>
      </c>
    </row>
    <row r="459" spans="1:14" ht="30" x14ac:dyDescent="0.25">
      <c r="A459" s="7" t="s">
        <v>971</v>
      </c>
      <c r="B459" s="7" t="s">
        <v>1187</v>
      </c>
      <c r="C459" s="6">
        <v>4789</v>
      </c>
      <c r="D459" s="6">
        <v>5934</v>
      </c>
      <c r="E459" s="6" t="str">
        <f>IFERROR(VLOOKUP($A459,tWA[],5,FALSE),"--")</f>
        <v>--</v>
      </c>
      <c r="F459" s="6" t="str">
        <f>IFERROR(VLOOKUP($A459,tWA[],6,FALSE),"--")</f>
        <v>--</v>
      </c>
      <c r="G459" s="18" t="s">
        <v>2163</v>
      </c>
      <c r="H459" s="18">
        <f t="shared" si="21"/>
        <v>1275.1869999999999</v>
      </c>
      <c r="I459" s="18" t="str">
        <f t="shared" si="22"/>
        <v>1275.187,  4886.735</v>
      </c>
      <c r="J459" s="6" t="s">
        <v>1218</v>
      </c>
      <c r="K459" s="6" t="s">
        <v>972</v>
      </c>
      <c r="L459" s="6" t="s">
        <v>62</v>
      </c>
      <c r="M459" s="11" t="s">
        <v>1226</v>
      </c>
      <c r="N459" s="7" t="str">
        <f t="shared" si="23"/>
        <v>{"name": "The Old Clothes Shop", "map": "Haven", "fCoords": "4789, 5934", "waCoords": "--, --", "leaflet": "1275.187,  4886.735", "pinType": "Shopping", "mapRef": "Map Ref.: P04 (SZ)", "type": "General Clothing", "description": ""},</v>
      </c>
    </row>
    <row r="460" spans="1:14" ht="45" x14ac:dyDescent="0.25">
      <c r="A460" s="7" t="s">
        <v>973</v>
      </c>
      <c r="B460" s="7" t="s">
        <v>1187</v>
      </c>
      <c r="C460" s="6">
        <v>6001</v>
      </c>
      <c r="D460" s="6">
        <v>3045</v>
      </c>
      <c r="E460" s="6" t="str">
        <f>IFERROR(VLOOKUP($A460,tWA[],5,FALSE),"--")</f>
        <v>5998</v>
      </c>
      <c r="F460" s="6" t="str">
        <f>IFERROR(VLOOKUP($A460,tWA[],6,FALSE),"--")</f>
        <v>4135</v>
      </c>
      <c r="G460" s="18" t="s">
        <v>2164</v>
      </c>
      <c r="H460" s="18">
        <f t="shared" si="21"/>
        <v>4223.1460000000006</v>
      </c>
      <c r="I460" s="18" t="str">
        <f t="shared" si="22"/>
        <v>4223.146,  6123.469</v>
      </c>
      <c r="J460" s="6" t="s">
        <v>1204</v>
      </c>
      <c r="K460" s="6" t="s">
        <v>974</v>
      </c>
      <c r="L460" s="6" t="s">
        <v>68</v>
      </c>
      <c r="M460" s="11" t="s">
        <v>1363</v>
      </c>
      <c r="N460" s="7" t="str">
        <f t="shared" si="23"/>
        <v>{"name": "The Old Walls", "map": "Haven", "fCoords": "6001, 3045", "waCoords": "5998, 4135", "leaflet": "4223.146,  6123.469", "pinType": "Inns &amp; Taverns", "mapRef": "Map Ref.: T13 (ST)", "type": "Tavern", "description": "One of the more well known inns/taverns in haven"},</v>
      </c>
    </row>
    <row r="461" spans="1:14" ht="30" x14ac:dyDescent="0.25">
      <c r="A461" s="7" t="s">
        <v>975</v>
      </c>
      <c r="B461" s="7" t="s">
        <v>1187</v>
      </c>
      <c r="C461" s="6">
        <v>4114</v>
      </c>
      <c r="D461" s="6">
        <v>6575</v>
      </c>
      <c r="E461" s="6" t="str">
        <f>IFERROR(VLOOKUP($A461,tWA[],5,FALSE),"--")</f>
        <v>--</v>
      </c>
      <c r="F461" s="6" t="str">
        <f>IFERROR(VLOOKUP($A461,tWA[],6,FALSE),"--")</f>
        <v>--</v>
      </c>
      <c r="G461" s="18" t="s">
        <v>2165</v>
      </c>
      <c r="H461" s="18">
        <f t="shared" si="21"/>
        <v>621.10500000000002</v>
      </c>
      <c r="I461" s="18" t="str">
        <f t="shared" si="22"/>
        <v>621.105,  4197.959</v>
      </c>
      <c r="J461" s="6" t="s">
        <v>1204</v>
      </c>
      <c r="K461" s="6" t="s">
        <v>976</v>
      </c>
      <c r="L461" s="6" t="s">
        <v>68</v>
      </c>
      <c r="M461" s="11" t="s">
        <v>1226</v>
      </c>
      <c r="N461" s="7" t="str">
        <f t="shared" si="23"/>
        <v>{"name": "The Orc Warren", "map": "Haven", "fCoords": "4114, 6575", "waCoords": "--, --", "leaflet": "621.105,  4197.959", "pinType": "Inns &amp; Taverns", "mapRef": "Map Ref.: N02 (GA)", "type": "Tavern", "description": ""},</v>
      </c>
    </row>
    <row r="462" spans="1:14" ht="45" x14ac:dyDescent="0.25">
      <c r="A462" s="7" t="s">
        <v>977</v>
      </c>
      <c r="B462" s="7" t="s">
        <v>1187</v>
      </c>
      <c r="C462" s="6">
        <v>1484</v>
      </c>
      <c r="D462" s="6">
        <v>4688</v>
      </c>
      <c r="E462" s="6" t="str">
        <f>IFERROR(VLOOKUP($A462,tWA[],5,FALSE),"--")</f>
        <v>1483</v>
      </c>
      <c r="F462" s="6" t="str">
        <f>IFERROR(VLOOKUP($A462,tWA[],6,FALSE),"--")</f>
        <v>2478</v>
      </c>
      <c r="G462" s="18" t="s">
        <v>2166</v>
      </c>
      <c r="H462" s="18">
        <f t="shared" si="21"/>
        <v>2546.6149999999998</v>
      </c>
      <c r="I462" s="18" t="str">
        <f t="shared" si="22"/>
        <v>2546.615,  1514.286</v>
      </c>
      <c r="J462" s="6" t="s">
        <v>1204</v>
      </c>
      <c r="K462" s="6" t="s">
        <v>978</v>
      </c>
      <c r="L462" s="6" t="s">
        <v>16</v>
      </c>
      <c r="M462" s="11" t="s">
        <v>1363</v>
      </c>
      <c r="N462" s="7" t="str">
        <f t="shared" si="23"/>
        <v>{"name": "The Pendragon Inn", "map": "Haven", "fCoords": "1484, 4688", "waCoords": "1483, 2478", "leaflet": "2546.615,  1514.286", "pinType": "Inns &amp; Taverns", "mapRef": "Map Ref.: E08 (OL)", "type": "Inn", "description": "One of the more well known inns/taverns in haven"},</v>
      </c>
    </row>
    <row r="463" spans="1:14" ht="30" x14ac:dyDescent="0.25">
      <c r="A463" s="7" t="s">
        <v>979</v>
      </c>
      <c r="B463" s="7" t="s">
        <v>1187</v>
      </c>
      <c r="C463" s="6">
        <v>2218</v>
      </c>
      <c r="D463" s="6">
        <v>4306</v>
      </c>
      <c r="E463" s="6" t="str">
        <f>IFERROR(VLOOKUP($A463,tWA[],5,FALSE),"--")</f>
        <v>--</v>
      </c>
      <c r="F463" s="6" t="str">
        <f>IFERROR(VLOOKUP($A463,tWA[],6,FALSE),"--")</f>
        <v>--</v>
      </c>
      <c r="G463" s="18" t="s">
        <v>2167</v>
      </c>
      <c r="H463" s="18">
        <f t="shared" si="21"/>
        <v>2936.4110000000001</v>
      </c>
      <c r="I463" s="18" t="str">
        <f t="shared" si="22"/>
        <v>2936.411,  2263.265</v>
      </c>
      <c r="J463" s="6" t="s">
        <v>1218</v>
      </c>
      <c r="K463" s="6" t="s">
        <v>980</v>
      </c>
      <c r="L463" s="6" t="s">
        <v>241</v>
      </c>
      <c r="M463" s="11" t="s">
        <v>1226</v>
      </c>
      <c r="N463" s="7" t="str">
        <f t="shared" si="23"/>
        <v>{"name": "The Pentacle", "map": "Haven", "fCoords": "2218, 4306", "waCoords": "--, --", "leaflet": "2936.411,  2263.265", "pinType": "Shopping", "mapRef": "Map Ref.: G09 (NF)", "type": "Magic", "description": ""},</v>
      </c>
    </row>
    <row r="464" spans="1:14" ht="30" x14ac:dyDescent="0.25">
      <c r="A464" s="7" t="s">
        <v>981</v>
      </c>
      <c r="B464" s="7" t="s">
        <v>1187</v>
      </c>
      <c r="C464" s="6">
        <v>3875</v>
      </c>
      <c r="D464" s="6">
        <v>5253</v>
      </c>
      <c r="E464" s="6" t="str">
        <f>IFERROR(VLOOKUP($A464,tWA[],5,FALSE),"--")</f>
        <v>--</v>
      </c>
      <c r="F464" s="6" t="str">
        <f>IFERROR(VLOOKUP($A464,tWA[],6,FALSE),"--")</f>
        <v>--</v>
      </c>
      <c r="G464" s="18" t="s">
        <v>2168</v>
      </c>
      <c r="H464" s="18">
        <f t="shared" si="21"/>
        <v>1970.0849999999998</v>
      </c>
      <c r="I464" s="18" t="str">
        <f t="shared" si="22"/>
        <v>1970.085,  3954.082</v>
      </c>
      <c r="J464" s="6" t="s">
        <v>1199</v>
      </c>
      <c r="K464" s="6" t="s">
        <v>982</v>
      </c>
      <c r="L464" s="6" t="s">
        <v>19</v>
      </c>
      <c r="M464" s="11" t="s">
        <v>1226</v>
      </c>
      <c r="N464" s="7" t="str">
        <f t="shared" si="23"/>
        <v>{"name": "The Perfumed Garden", "map": "Haven", "fCoords": "3875, 5253", "waCoords": "--, --", "leaflet": "1970.085,  3954.082", "pinType": "Entertainment", "mapRef": "Map Ref.: M06 (DX)", "type": "Brothel", "description": ""},</v>
      </c>
    </row>
    <row r="465" spans="1:14" ht="45" x14ac:dyDescent="0.25">
      <c r="A465" s="7" t="s">
        <v>983</v>
      </c>
      <c r="B465" s="7" t="s">
        <v>1187</v>
      </c>
      <c r="C465" s="6">
        <v>3315</v>
      </c>
      <c r="D465" s="6">
        <v>5692</v>
      </c>
      <c r="E465" s="6" t="str">
        <f>IFERROR(VLOOKUP($A465,tWA[],5,FALSE),"--")</f>
        <v>3313</v>
      </c>
      <c r="F465" s="6" t="str">
        <f>IFERROR(VLOOKUP($A465,tWA[],6,FALSE),"--")</f>
        <v>1485</v>
      </c>
      <c r="G465" s="18" t="s">
        <v>2169</v>
      </c>
      <c r="H465" s="18">
        <f t="shared" si="21"/>
        <v>1522.126</v>
      </c>
      <c r="I465" s="18" t="str">
        <f t="shared" si="22"/>
        <v>1522.126,  3382.653</v>
      </c>
      <c r="J465" s="6" t="s">
        <v>1204</v>
      </c>
      <c r="K465" s="6" t="s">
        <v>984</v>
      </c>
      <c r="L465" s="6" t="s">
        <v>68</v>
      </c>
      <c r="M465" s="11" t="s">
        <v>1363</v>
      </c>
      <c r="N465" s="7" t="str">
        <f t="shared" si="23"/>
        <v>{"name": "The Prancing Pony", "map": "Haven", "fCoords": "3315, 5692", "waCoords": "3313, 1485", "leaflet": "1522.126,  3382.653", "pinType": "Inns &amp; Taverns", "mapRef": "Map Ref.: K04 (RD)", "type": "Tavern", "description": "One of the more well known inns/taverns in haven"},</v>
      </c>
    </row>
    <row r="466" spans="1:14" ht="30" x14ac:dyDescent="0.25">
      <c r="A466" s="7" t="s">
        <v>985</v>
      </c>
      <c r="B466" s="7" t="s">
        <v>1187</v>
      </c>
      <c r="C466" s="6">
        <v>2829</v>
      </c>
      <c r="D466" s="6">
        <v>1973</v>
      </c>
      <c r="E466" s="6" t="str">
        <f>IFERROR(VLOOKUP($A466,tWA[],5,FALSE),"--")</f>
        <v>--</v>
      </c>
      <c r="F466" s="6" t="str">
        <f>IFERROR(VLOOKUP($A466,tWA[],6,FALSE),"--")</f>
        <v>--</v>
      </c>
      <c r="G466" s="18" t="s">
        <v>2170</v>
      </c>
      <c r="H466" s="18">
        <f t="shared" si="21"/>
        <v>5317.0230000000001</v>
      </c>
      <c r="I466" s="18" t="str">
        <f t="shared" si="22"/>
        <v>5317.023,  2886.735</v>
      </c>
      <c r="J466" s="6" t="s">
        <v>1204</v>
      </c>
      <c r="K466" s="6" t="s">
        <v>986</v>
      </c>
      <c r="L466" s="6" t="s">
        <v>68</v>
      </c>
      <c r="M466" s="11" t="s">
        <v>1226</v>
      </c>
      <c r="N466" s="7" t="str">
        <f t="shared" si="23"/>
        <v>{"name": "The Purple Cow", "map": "Haven", "fCoords": "2829, 1973", "waCoords": "--, --", "leaflet": "5317.023,  2886.735", "pinType": "Inns &amp; Taverns", "mapRef": "Map Ref.: I17 (SU)", "type": "Tavern", "description": ""},</v>
      </c>
    </row>
    <row r="467" spans="1:14" ht="30" x14ac:dyDescent="0.25">
      <c r="A467" s="7" t="s">
        <v>987</v>
      </c>
      <c r="B467" s="7" t="s">
        <v>1187</v>
      </c>
      <c r="C467" s="6">
        <v>3955</v>
      </c>
      <c r="D467" s="6">
        <v>5252</v>
      </c>
      <c r="E467" s="6" t="str">
        <f>IFERROR(VLOOKUP($A467,tWA[],5,FALSE),"--")</f>
        <v>--</v>
      </c>
      <c r="F467" s="6" t="str">
        <f>IFERROR(VLOOKUP($A467,tWA[],6,FALSE),"--")</f>
        <v>--</v>
      </c>
      <c r="G467" s="18" t="s">
        <v>2171</v>
      </c>
      <c r="H467" s="18">
        <f t="shared" si="21"/>
        <v>1971.105</v>
      </c>
      <c r="I467" s="18" t="str">
        <f t="shared" si="22"/>
        <v>1971.105,  4035.714</v>
      </c>
      <c r="J467" s="6" t="s">
        <v>1204</v>
      </c>
      <c r="K467" s="6" t="s">
        <v>988</v>
      </c>
      <c r="L467" s="6" t="s">
        <v>68</v>
      </c>
      <c r="M467" s="11" t="s">
        <v>1226</v>
      </c>
      <c r="N467" s="7" t="str">
        <f t="shared" si="23"/>
        <v>{"name": "The Red Rooster", "map": "Haven", "fCoords": "3955, 5252", "waCoords": "--, --", "leaflet": "1971.105,  4035.714", "pinType": "Inns &amp; Taverns", "mapRef": "Map Ref.: M06 (DR)", "type": "Tavern", "description": ""},</v>
      </c>
    </row>
    <row r="468" spans="1:14" ht="30" x14ac:dyDescent="0.25">
      <c r="A468" s="7" t="s">
        <v>989</v>
      </c>
      <c r="B468" s="7" t="s">
        <v>1187</v>
      </c>
      <c r="C468" s="6">
        <v>1943</v>
      </c>
      <c r="D468" s="6">
        <v>3796</v>
      </c>
      <c r="E468" s="6" t="str">
        <f>IFERROR(VLOOKUP($A468,tWA[],5,FALSE),"--")</f>
        <v>--</v>
      </c>
      <c r="F468" s="6" t="str">
        <f>IFERROR(VLOOKUP($A468,tWA[],6,FALSE),"--")</f>
        <v>--</v>
      </c>
      <c r="G468" s="18" t="s">
        <v>2172</v>
      </c>
      <c r="H468" s="18">
        <f t="shared" si="21"/>
        <v>3456.819</v>
      </c>
      <c r="I468" s="18" t="str">
        <f t="shared" si="22"/>
        <v>3456.819,  1982.653</v>
      </c>
      <c r="J468" s="6" t="s">
        <v>1678</v>
      </c>
      <c r="K468" s="6" t="s">
        <v>990</v>
      </c>
      <c r="L468" s="6" t="s">
        <v>157</v>
      </c>
      <c r="M468" s="11" t="s">
        <v>1226</v>
      </c>
      <c r="N468" s="7" t="str">
        <f t="shared" si="23"/>
        <v>{"name": "The Ruined Barracks of the Strathspey Regiment", "map": "Haven", "fCoords": "1943, 3796", "waCoords": "--, --", "leaflet": "3456.819,  1982.653", "pinType": "Landmark", "mapRef": "Map Ref.: F11 (JV)", "type": "Ruin", "description": ""},</v>
      </c>
    </row>
    <row r="469" spans="1:14" ht="45" x14ac:dyDescent="0.25">
      <c r="A469" s="7" t="s">
        <v>991</v>
      </c>
      <c r="B469" s="7" t="s">
        <v>1187</v>
      </c>
      <c r="C469" s="6">
        <v>4988</v>
      </c>
      <c r="D469" s="6">
        <v>4449</v>
      </c>
      <c r="E469" s="6" t="str">
        <f>IFERROR(VLOOKUP($A469,tWA[],5,FALSE),"--")</f>
        <v>5014</v>
      </c>
      <c r="F469" s="6" t="str">
        <f>IFERROR(VLOOKUP($A469,tWA[],6,FALSE),"--")</f>
        <v>2723</v>
      </c>
      <c r="G469" s="18" t="s">
        <v>2173</v>
      </c>
      <c r="H469" s="18">
        <f t="shared" si="21"/>
        <v>2790.4929999999999</v>
      </c>
      <c r="I469" s="18" t="str">
        <f t="shared" si="22"/>
        <v>2790.493,  5089.796</v>
      </c>
      <c r="J469" s="6" t="s">
        <v>1678</v>
      </c>
      <c r="K469" s="6" t="s">
        <v>992</v>
      </c>
      <c r="L469" s="6" t="s">
        <v>157</v>
      </c>
      <c r="M469" s="11" t="s">
        <v>1378</v>
      </c>
      <c r="N469" s="7" t="str">
        <f t="shared" si="23"/>
        <v>{"name": "The Ruins of the South Keep", "map": "Haven", "fCoords": "4988, 4449", "waCoords": "5014, 2723", "leaflet": "2790.493,  5089.796", "pinType": "Landmark", "mapRef": "Map Ref.: Q09 (RQ)", "type": "Ruin", "description": "The ruins of the original keep built on what is now Trade Island"},</v>
      </c>
    </row>
    <row r="470" spans="1:14" ht="45" x14ac:dyDescent="0.25">
      <c r="A470" s="7" t="s">
        <v>993</v>
      </c>
      <c r="B470" s="7" t="s">
        <v>1187</v>
      </c>
      <c r="C470" s="6">
        <v>2331</v>
      </c>
      <c r="D470" s="6">
        <v>4672</v>
      </c>
      <c r="E470" s="6" t="str">
        <f>IFERROR(VLOOKUP($A470,tWA[],5,FALSE),"--")</f>
        <v>2332</v>
      </c>
      <c r="F470" s="6" t="str">
        <f>IFERROR(VLOOKUP($A470,tWA[],6,FALSE),"--")</f>
        <v>2510</v>
      </c>
      <c r="G470" s="18" t="s">
        <v>2174</v>
      </c>
      <c r="H470" s="18">
        <f t="shared" si="21"/>
        <v>2562.942</v>
      </c>
      <c r="I470" s="18" t="str">
        <f t="shared" si="22"/>
        <v>2562.942,  2378.571</v>
      </c>
      <c r="J470" s="6" t="s">
        <v>1204</v>
      </c>
      <c r="K470" s="6" t="s">
        <v>994</v>
      </c>
      <c r="L470" s="6" t="s">
        <v>16</v>
      </c>
      <c r="M470" s="11" t="s">
        <v>1363</v>
      </c>
      <c r="N470" s="7" t="str">
        <f t="shared" si="23"/>
        <v>{"name": "The Sackbut and Psalter", "map": "Haven", "fCoords": "2331, 4672", "waCoords": "2332, 2510", "leaflet": "2562.942,  2378.571", "pinType": "Inns &amp; Taverns", "mapRef": "Map Ref.: H08 (MN)", "type": "Inn", "description": "One of the more well known inns/taverns in haven"},</v>
      </c>
    </row>
    <row r="471" spans="1:14" ht="30" x14ac:dyDescent="0.25">
      <c r="A471" s="7" t="s">
        <v>995</v>
      </c>
      <c r="B471" s="7" t="s">
        <v>1187</v>
      </c>
      <c r="C471" s="6">
        <v>6136</v>
      </c>
      <c r="D471" s="6">
        <v>5622</v>
      </c>
      <c r="E471" s="6" t="str">
        <f>IFERROR(VLOOKUP($A471,tWA[],5,FALSE),"--")</f>
        <v>--</v>
      </c>
      <c r="F471" s="6" t="str">
        <f>IFERROR(VLOOKUP($A471,tWA[],6,FALSE),"--")</f>
        <v>--</v>
      </c>
      <c r="G471" s="18" t="s">
        <v>2175</v>
      </c>
      <c r="H471" s="18">
        <f t="shared" si="21"/>
        <v>1593.5539999999999</v>
      </c>
      <c r="I471" s="18" t="str">
        <f t="shared" si="22"/>
        <v>1593.554,  6261.224</v>
      </c>
      <c r="J471" s="6" t="s">
        <v>1204</v>
      </c>
      <c r="K471" s="6" t="s">
        <v>996</v>
      </c>
      <c r="L471" s="6" t="s">
        <v>68</v>
      </c>
      <c r="M471" s="11" t="s">
        <v>1226</v>
      </c>
      <c r="N471" s="7" t="str">
        <f t="shared" si="23"/>
        <v>{"name": "The Seasick Parrot", "map": "Haven", "fCoords": "6136, 5622", "waCoords": "--, --", "leaflet": "1593.554,  6261.224", "pinType": "Inns &amp; Taverns", "mapRef": "Map Ref.: U05 (AH)", "type": "Tavern", "description": ""},</v>
      </c>
    </row>
    <row r="472" spans="1:14" ht="30" x14ac:dyDescent="0.25">
      <c r="A472" s="7" t="s">
        <v>997</v>
      </c>
      <c r="B472" s="7" t="s">
        <v>1187</v>
      </c>
      <c r="C472" s="6">
        <v>3488</v>
      </c>
      <c r="D472" s="6">
        <v>3688</v>
      </c>
      <c r="E472" s="6" t="str">
        <f>IFERROR(VLOOKUP($A472,tWA[],5,FALSE),"--")</f>
        <v>--</v>
      </c>
      <c r="F472" s="6" t="str">
        <f>IFERROR(VLOOKUP($A472,tWA[],6,FALSE),"--")</f>
        <v>--</v>
      </c>
      <c r="G472" s="18" t="s">
        <v>2176</v>
      </c>
      <c r="H472" s="18">
        <f t="shared" si="21"/>
        <v>3567.0229999999997</v>
      </c>
      <c r="I472" s="18" t="str">
        <f t="shared" si="22"/>
        <v>3567.023,  3559.184</v>
      </c>
      <c r="J472" s="6" t="s">
        <v>1218</v>
      </c>
      <c r="K472" s="6" t="s">
        <v>998</v>
      </c>
      <c r="L472" s="6" t="s">
        <v>62</v>
      </c>
      <c r="M472" s="11" t="s">
        <v>1226</v>
      </c>
      <c r="N472" s="7" t="str">
        <f t="shared" si="23"/>
        <v>{"name": "The Secret Cabinet", "map": "Haven", "fCoords": "3488, 3688", "waCoords": "--, --", "leaflet": "3567.023,  3559.184", "pinType": "Shopping", "mapRef": "Map Ref.: L11 (JU)", "type": "General Clothing", "description": ""},</v>
      </c>
    </row>
    <row r="473" spans="1:14" ht="45" x14ac:dyDescent="0.25">
      <c r="A473" s="7" t="s">
        <v>999</v>
      </c>
      <c r="B473" s="7" t="s">
        <v>1187</v>
      </c>
      <c r="C473" s="6">
        <v>1809</v>
      </c>
      <c r="D473" s="6">
        <v>5159</v>
      </c>
      <c r="E473" s="6" t="str">
        <f>IFERROR(VLOOKUP($A473,tWA[],5,FALSE),"--")</f>
        <v>1806</v>
      </c>
      <c r="F473" s="6" t="str">
        <f>IFERROR(VLOOKUP($A473,tWA[],6,FALSE),"--")</f>
        <v>2023</v>
      </c>
      <c r="G473" s="18" t="s">
        <v>2177</v>
      </c>
      <c r="H473" s="18">
        <f t="shared" si="21"/>
        <v>2066.0029999999997</v>
      </c>
      <c r="I473" s="18" t="str">
        <f t="shared" si="22"/>
        <v>2066.003,  1845.918</v>
      </c>
      <c r="J473" s="6" t="s">
        <v>1204</v>
      </c>
      <c r="K473" s="6" t="s">
        <v>1000</v>
      </c>
      <c r="L473" s="6" t="s">
        <v>16</v>
      </c>
      <c r="M473" s="11" t="s">
        <v>1363</v>
      </c>
      <c r="N473" s="7" t="str">
        <f t="shared" si="23"/>
        <v>{"name": "The Shady Rest Inn", "map": "Haven", "fCoords": "1809, 5159", "waCoords": "1806, 2023", "leaflet": "2066.003,  1845.918", "pinType": "Inns &amp; Taverns", "mapRef": "Map Ref.: F06 (OR)", "type": "Inn", "description": "One of the more well known inns/taverns in haven"},</v>
      </c>
    </row>
    <row r="474" spans="1:14" ht="30" x14ac:dyDescent="0.25">
      <c r="A474" s="7" t="s">
        <v>1001</v>
      </c>
      <c r="B474" s="7" t="s">
        <v>1187</v>
      </c>
      <c r="C474" s="6">
        <v>3952</v>
      </c>
      <c r="D474" s="6">
        <v>5470</v>
      </c>
      <c r="E474" s="6" t="str">
        <f>IFERROR(VLOOKUP($A474,tWA[],5,FALSE),"--")</f>
        <v>--</v>
      </c>
      <c r="F474" s="6" t="str">
        <f>IFERROR(VLOOKUP($A474,tWA[],6,FALSE),"--")</f>
        <v>--</v>
      </c>
      <c r="G474" s="18" t="s">
        <v>2178</v>
      </c>
      <c r="H474" s="18">
        <f t="shared" si="21"/>
        <v>1748.6559999999999</v>
      </c>
      <c r="I474" s="18" t="str">
        <f t="shared" si="22"/>
        <v>1748.656,  4032.653</v>
      </c>
      <c r="J474" s="6" t="s">
        <v>1677</v>
      </c>
      <c r="K474" s="6" t="s">
        <v>1003</v>
      </c>
      <c r="L474" s="6" t="s">
        <v>1002</v>
      </c>
      <c r="M474" s="11" t="s">
        <v>1226</v>
      </c>
      <c r="N474" s="7" t="str">
        <f t="shared" si="23"/>
        <v>{"name": "The Shaving Mill", "map": "Haven", "fCoords": "3952, 5470", "waCoords": "--, --", "leaflet": "1748.656,  4032.653", "pinType": "Service", "mapRef": "Map Ref.: M05 (DV)", "type": "Barber", "description": ""},</v>
      </c>
    </row>
    <row r="475" spans="1:14" ht="45" x14ac:dyDescent="0.25">
      <c r="A475" s="7" t="s">
        <v>1004</v>
      </c>
      <c r="B475" s="7" t="s">
        <v>1187</v>
      </c>
      <c r="C475" s="6">
        <v>2657</v>
      </c>
      <c r="D475" s="6">
        <v>3352</v>
      </c>
      <c r="E475" s="6" t="str">
        <f>IFERROR(VLOOKUP($A475,tWA[],5,FALSE),"--")</f>
        <v>2643</v>
      </c>
      <c r="F475" s="6" t="str">
        <f>IFERROR(VLOOKUP($A475,tWA[],6,FALSE),"--")</f>
        <v>3803</v>
      </c>
      <c r="G475" s="18" t="s">
        <v>2179</v>
      </c>
      <c r="H475" s="18">
        <f t="shared" si="21"/>
        <v>3909.8809999999999</v>
      </c>
      <c r="I475" s="18" t="str">
        <f t="shared" si="22"/>
        <v>3909.881,  2711.224</v>
      </c>
      <c r="J475" s="6" t="s">
        <v>1678</v>
      </c>
      <c r="K475" s="6" t="s">
        <v>1005</v>
      </c>
      <c r="L475" s="6" t="s">
        <v>135</v>
      </c>
      <c r="M475" s="11" t="s">
        <v>1379</v>
      </c>
      <c r="N475" s="7" t="str">
        <f t="shared" si="23"/>
        <v>{"name": "The Shieldwood", "map": "Haven", "fCoords": "2657, 3352", "waCoords": "2643, 3803", "leaflet": "3909.881,  2711.224", "pinType": "Landmark", "mapRef": "Map Ref.: I12 (SV)", "type": "Park", "description": "These woods form the northern boundry of Erinhir, along the south bank of the Dorian."},</v>
      </c>
    </row>
    <row r="476" spans="1:14" ht="30" x14ac:dyDescent="0.25">
      <c r="A476" s="7" t="s">
        <v>1006</v>
      </c>
      <c r="B476" s="7" t="s">
        <v>1187</v>
      </c>
      <c r="C476" s="6">
        <v>3811</v>
      </c>
      <c r="D476" s="6">
        <v>5107</v>
      </c>
      <c r="E476" s="6" t="str">
        <f>IFERROR(VLOOKUP($A476,tWA[],5,FALSE),"--")</f>
        <v>--</v>
      </c>
      <c r="F476" s="6" t="str">
        <f>IFERROR(VLOOKUP($A476,tWA[],6,FALSE),"--")</f>
        <v>--</v>
      </c>
      <c r="G476" s="18" t="s">
        <v>2180</v>
      </c>
      <c r="H476" s="18">
        <f t="shared" si="21"/>
        <v>2119.0639999999999</v>
      </c>
      <c r="I476" s="18" t="str">
        <f t="shared" si="22"/>
        <v>2119.064,  3888.776</v>
      </c>
      <c r="J476" s="6" t="s">
        <v>1199</v>
      </c>
      <c r="K476" s="6" t="s">
        <v>1007</v>
      </c>
      <c r="L476" s="6" t="s">
        <v>19</v>
      </c>
      <c r="M476" s="11" t="s">
        <v>1226</v>
      </c>
      <c r="N476" s="7" t="str">
        <f t="shared" si="23"/>
        <v>{"name": "The Silken Chain", "map": "Haven", "fCoords": "3811, 5107", "waCoords": "--, --", "leaflet": "2119.064,  3888.776", "pinType": "Entertainment", "mapRef": "Map Ref.: M06 (DZ)", "type": "Brothel", "description": ""},</v>
      </c>
    </row>
    <row r="477" spans="1:14" ht="30" x14ac:dyDescent="0.25">
      <c r="A477" s="7" t="s">
        <v>1008</v>
      </c>
      <c r="B477" s="7" t="s">
        <v>1187</v>
      </c>
      <c r="C477" s="6">
        <v>3736</v>
      </c>
      <c r="D477" s="6">
        <v>6111</v>
      </c>
      <c r="E477" s="6" t="str">
        <f>IFERROR(VLOOKUP($A477,tWA[],5,FALSE),"--")</f>
        <v>--</v>
      </c>
      <c r="F477" s="6" t="str">
        <f>IFERROR(VLOOKUP($A477,tWA[],6,FALSE),"--")</f>
        <v>--</v>
      </c>
      <c r="G477" s="18" t="s">
        <v>2181</v>
      </c>
      <c r="H477" s="18">
        <f t="shared" si="21"/>
        <v>1094.5739999999998</v>
      </c>
      <c r="I477" s="18" t="str">
        <f t="shared" si="22"/>
        <v>1094.574,  3812.245</v>
      </c>
      <c r="J477" s="6" t="s">
        <v>1204</v>
      </c>
      <c r="K477" s="6" t="s">
        <v>1009</v>
      </c>
      <c r="L477" s="6" t="s">
        <v>68</v>
      </c>
      <c r="M477" s="11" t="s">
        <v>1226</v>
      </c>
      <c r="N477" s="7" t="str">
        <f t="shared" si="23"/>
        <v>{"name": "The Silver Penny", "map": "Haven", "fCoords": "3736, 6111", "waCoords": "--, --", "leaflet": "1094.574,  3812.245", "pinType": "Inns &amp; Taverns", "mapRef": "Map Ref.: L03 (EZ)", "type": "Tavern", "description": ""},</v>
      </c>
    </row>
    <row r="478" spans="1:14" ht="30" x14ac:dyDescent="0.25">
      <c r="A478" s="7" t="s">
        <v>1010</v>
      </c>
      <c r="B478" s="7" t="s">
        <v>1187</v>
      </c>
      <c r="C478" s="6">
        <v>3255</v>
      </c>
      <c r="D478" s="6">
        <v>3867</v>
      </c>
      <c r="E478" s="6" t="str">
        <f>IFERROR(VLOOKUP($A478,tWA[],5,FALSE),"--")</f>
        <v>--</v>
      </c>
      <c r="F478" s="6" t="str">
        <f>IFERROR(VLOOKUP($A478,tWA[],6,FALSE),"--")</f>
        <v>--</v>
      </c>
      <c r="G478" s="18" t="s">
        <v>2182</v>
      </c>
      <c r="H478" s="18">
        <f t="shared" si="21"/>
        <v>3384.37</v>
      </c>
      <c r="I478" s="18" t="str">
        <f t="shared" si="22"/>
        <v>3384.37,  3321.429</v>
      </c>
      <c r="J478" s="6" t="s">
        <v>1197</v>
      </c>
      <c r="K478" s="6" t="s">
        <v>1011</v>
      </c>
      <c r="L478" s="6" t="s">
        <v>442</v>
      </c>
      <c r="M478" s="11" t="s">
        <v>1226</v>
      </c>
      <c r="N478" s="7" t="str">
        <f t="shared" si="23"/>
        <v>{"name": "The Silver Star", "map": "Haven", "fCoords": "3255, 3867", "waCoords": "--, --", "leaflet": "3384.37,  3321.429", "pinType": "Dining", "mapRef": "Map Ref.: K11 (JD)", "type": "Restaurant", "description": ""},</v>
      </c>
    </row>
    <row r="479" spans="1:14" ht="30" x14ac:dyDescent="0.25">
      <c r="A479" s="7" t="s">
        <v>1012</v>
      </c>
      <c r="B479" s="7" t="s">
        <v>1187</v>
      </c>
      <c r="C479" s="6">
        <v>2889</v>
      </c>
      <c r="D479" s="6">
        <v>5784</v>
      </c>
      <c r="E479" s="6" t="str">
        <f>IFERROR(VLOOKUP($A479,tWA[],5,FALSE),"--")</f>
        <v>--</v>
      </c>
      <c r="F479" s="6" t="str">
        <f>IFERROR(VLOOKUP($A479,tWA[],6,FALSE),"--")</f>
        <v>--</v>
      </c>
      <c r="G479" s="18" t="s">
        <v>2183</v>
      </c>
      <c r="H479" s="18">
        <f t="shared" si="21"/>
        <v>1428.2479999999998</v>
      </c>
      <c r="I479" s="18" t="str">
        <f t="shared" si="22"/>
        <v>1428.248,  2947.959</v>
      </c>
      <c r="J479" s="6" t="s">
        <v>1199</v>
      </c>
      <c r="K479" s="6" t="s">
        <v>1013</v>
      </c>
      <c r="L479" s="6" t="s">
        <v>276</v>
      </c>
      <c r="M479" s="11" t="s">
        <v>1226</v>
      </c>
      <c r="N479" s="7" t="str">
        <f t="shared" si="23"/>
        <v>{"name": "The Silver Stringed Bouzouki", "map": "Haven", "fCoords": "2889, 5784", "waCoords": "--, --", "leaflet": "1428.248,  2947.959", "pinType": "Entertainment", "mapRef": "Map Ref.: J04 (OW)", "type": "Theatre", "description": ""},</v>
      </c>
    </row>
    <row r="480" spans="1:14" ht="45" x14ac:dyDescent="0.25">
      <c r="A480" s="7" t="s">
        <v>1014</v>
      </c>
      <c r="B480" s="7" t="s">
        <v>1187</v>
      </c>
      <c r="C480" s="6">
        <v>3021</v>
      </c>
      <c r="D480" s="6">
        <v>4652</v>
      </c>
      <c r="E480" s="6" t="str">
        <f>IFERROR(VLOOKUP($A480,tWA[],5,FALSE),"--")</f>
        <v>3018</v>
      </c>
      <c r="F480" s="6" t="str">
        <f>IFERROR(VLOOKUP($A480,tWA[],6,FALSE),"--")</f>
        <v>2522</v>
      </c>
      <c r="G480" s="18" t="s">
        <v>2184</v>
      </c>
      <c r="H480" s="18">
        <f t="shared" si="21"/>
        <v>2583.35</v>
      </c>
      <c r="I480" s="18" t="str">
        <f t="shared" si="22"/>
        <v>2583.35,  3082.653</v>
      </c>
      <c r="J480" s="6" t="s">
        <v>1204</v>
      </c>
      <c r="K480" s="6" t="s">
        <v>1015</v>
      </c>
      <c r="L480" s="6" t="s">
        <v>16</v>
      </c>
      <c r="M480" s="11" t="s">
        <v>1363</v>
      </c>
      <c r="N480" s="7" t="str">
        <f t="shared" si="23"/>
        <v>{"name": "The Silver Trumpet", "map": "Haven", "fCoords": "3021, 4652", "waCoords": "3018, 2522", "leaflet": "2583.35,  3082.653", "pinType": "Inns &amp; Taverns", "mapRef": "Map Ref.: J08 (LX)", "type": "Inn", "description": "One of the more well known inns/taverns in haven"},</v>
      </c>
    </row>
    <row r="481" spans="1:14" ht="30" x14ac:dyDescent="0.25">
      <c r="A481" s="7" t="s">
        <v>1016</v>
      </c>
      <c r="B481" s="7" t="s">
        <v>1187</v>
      </c>
      <c r="C481" s="6">
        <v>6169</v>
      </c>
      <c r="D481" s="6">
        <v>5478</v>
      </c>
      <c r="E481" s="6" t="str">
        <f>IFERROR(VLOOKUP($A481,tWA[],5,FALSE),"--")</f>
        <v>--</v>
      </c>
      <c r="F481" s="6" t="str">
        <f>IFERROR(VLOOKUP($A481,tWA[],6,FALSE),"--")</f>
        <v>--</v>
      </c>
      <c r="G481" s="18" t="s">
        <v>2185</v>
      </c>
      <c r="H481" s="18">
        <f t="shared" si="21"/>
        <v>1740.4929999999999</v>
      </c>
      <c r="I481" s="18" t="str">
        <f t="shared" si="22"/>
        <v>1740.493,  6294.898</v>
      </c>
      <c r="J481" s="6" t="s">
        <v>1204</v>
      </c>
      <c r="K481" s="6" t="s">
        <v>1017</v>
      </c>
      <c r="L481" s="6" t="s">
        <v>68</v>
      </c>
      <c r="M481" s="11" t="s">
        <v>1226</v>
      </c>
      <c r="N481" s="7" t="str">
        <f t="shared" si="23"/>
        <v>{"name": "The Slop Chest", "map": "Haven", "fCoords": "6169, 5478", "waCoords": "--, --", "leaflet": "1740.493,  6294.898", "pinType": "Inns &amp; Taverns", "mapRef": "Map Ref.: U05 (AP)", "type": "Tavern", "description": ""},</v>
      </c>
    </row>
    <row r="482" spans="1:14" ht="30" x14ac:dyDescent="0.25">
      <c r="A482" s="7" t="s">
        <v>1018</v>
      </c>
      <c r="B482" s="7" t="s">
        <v>1187</v>
      </c>
      <c r="C482" s="6">
        <v>6216</v>
      </c>
      <c r="D482" s="6">
        <v>3373</v>
      </c>
      <c r="E482" s="6" t="str">
        <f>IFERROR(VLOOKUP($A482,tWA[],5,FALSE),"--")</f>
        <v>--</v>
      </c>
      <c r="F482" s="6" t="str">
        <f>IFERROR(VLOOKUP($A482,tWA[],6,FALSE),"--")</f>
        <v>--</v>
      </c>
      <c r="G482" s="18" t="s">
        <v>2186</v>
      </c>
      <c r="H482" s="18">
        <f t="shared" si="21"/>
        <v>3888.4519999999998</v>
      </c>
      <c r="I482" s="18" t="str">
        <f t="shared" si="22"/>
        <v>3888.452,  6342.857</v>
      </c>
      <c r="J482" s="6" t="s">
        <v>1197</v>
      </c>
      <c r="K482" s="6" t="s">
        <v>1019</v>
      </c>
      <c r="L482" s="6" t="s">
        <v>442</v>
      </c>
      <c r="M482" s="11" t="s">
        <v>1226</v>
      </c>
      <c r="N482" s="7" t="str">
        <f t="shared" si="23"/>
        <v>{"name": "The Snowblind Mouse", "map": "Haven", "fCoords": "6216, 3373", "waCoords": "--, --", "leaflet": "3888.452,  6342.857", "pinType": "Dining", "mapRef": "Map Ref.: U12 (AA)", "type": "Restaurant", "description": ""},</v>
      </c>
    </row>
    <row r="483" spans="1:14" ht="45" x14ac:dyDescent="0.25">
      <c r="A483" s="7" t="s">
        <v>1020</v>
      </c>
      <c r="B483" s="7" t="s">
        <v>1187</v>
      </c>
      <c r="C483" s="6">
        <v>4814</v>
      </c>
      <c r="D483" s="6">
        <v>2791</v>
      </c>
      <c r="E483" s="6" t="str">
        <f>IFERROR(VLOOKUP($A483,tWA[],5,FALSE),"--")</f>
        <v>4810</v>
      </c>
      <c r="F483" s="6" t="str">
        <f>IFERROR(VLOOKUP($A483,tWA[],6,FALSE),"--")</f>
        <v>4395</v>
      </c>
      <c r="G483" s="18" t="s">
        <v>2187</v>
      </c>
      <c r="H483" s="18">
        <f t="shared" si="21"/>
        <v>4482.33</v>
      </c>
      <c r="I483" s="18" t="str">
        <f t="shared" si="22"/>
        <v>4482.33,  4912.245</v>
      </c>
      <c r="J483" s="6" t="s">
        <v>1204</v>
      </c>
      <c r="K483" s="6" t="s">
        <v>1021</v>
      </c>
      <c r="L483" s="6" t="s">
        <v>16</v>
      </c>
      <c r="M483" s="11" t="s">
        <v>1363</v>
      </c>
      <c r="N483" s="7" t="str">
        <f t="shared" si="23"/>
        <v>{"name": "The Speedwell Inn", "map": "Haven", "fCoords": "4814, 2791", "waCoords": "4810, 4395", "leaflet": "4482.33,  4912.245", "pinType": "Inns &amp; Taverns", "mapRef": "Map Ref.: P14 (SG)", "type": "Inn", "description": "One of the more well known inns/taverns in haven"},</v>
      </c>
    </row>
    <row r="484" spans="1:14" ht="45" x14ac:dyDescent="0.25">
      <c r="A484" s="7" t="s">
        <v>1022</v>
      </c>
      <c r="B484" s="7" t="s">
        <v>1187</v>
      </c>
      <c r="C484" s="6">
        <v>744</v>
      </c>
      <c r="D484" s="6">
        <v>3121</v>
      </c>
      <c r="E484" s="6" t="str">
        <f>IFERROR(VLOOKUP($A484,tWA[],5,FALSE),"--")</f>
        <v>747</v>
      </c>
      <c r="F484" s="6" t="str">
        <f>IFERROR(VLOOKUP($A484,tWA[],6,FALSE),"--")</f>
        <v>4061</v>
      </c>
      <c r="G484" s="18" t="s">
        <v>2188</v>
      </c>
      <c r="H484" s="18">
        <f t="shared" si="21"/>
        <v>4145.5950000000003</v>
      </c>
      <c r="I484" s="18" t="str">
        <f t="shared" si="22"/>
        <v>4145.595,  759.184</v>
      </c>
      <c r="J484" s="6" t="s">
        <v>1204</v>
      </c>
      <c r="K484" s="6" t="s">
        <v>1023</v>
      </c>
      <c r="L484" s="6" t="s">
        <v>68</v>
      </c>
      <c r="M484" s="11" t="s">
        <v>1363</v>
      </c>
      <c r="N484" s="7" t="str">
        <f t="shared" si="23"/>
        <v>{"name": "The Stone Hammer", "map": "Haven", "fCoords": "744, 3121", "waCoords": "747, 4061", "leaflet": "4145.595,  759.184", "pinType": "Inns &amp; Taverns", "mapRef": "Map Ref.: B13 (HO)", "type": "Tavern", "description": "One of the more well known inns/taverns in haven"},</v>
      </c>
    </row>
    <row r="485" spans="1:14" ht="45" x14ac:dyDescent="0.25">
      <c r="A485" s="7" t="s">
        <v>1024</v>
      </c>
      <c r="B485" s="7" t="s">
        <v>1187</v>
      </c>
      <c r="C485" s="6">
        <v>1692</v>
      </c>
      <c r="D485" s="6">
        <v>3932</v>
      </c>
      <c r="E485" s="6" t="str">
        <f>IFERROR(VLOOKUP($A485,tWA[],5,FALSE),"--")</f>
        <v>1701</v>
      </c>
      <c r="F485" s="6" t="str">
        <f>IFERROR(VLOOKUP($A485,tWA[],6,FALSE),"--")</f>
        <v>3278</v>
      </c>
      <c r="G485" s="18" t="s">
        <v>2189</v>
      </c>
      <c r="H485" s="18">
        <f t="shared" si="21"/>
        <v>3318.0439999999999</v>
      </c>
      <c r="I485" s="18" t="str">
        <f t="shared" si="22"/>
        <v>3318.044,  1726.531</v>
      </c>
      <c r="J485" s="6" t="s">
        <v>22</v>
      </c>
      <c r="K485" s="6" t="s">
        <v>1025</v>
      </c>
      <c r="L485" s="6" t="s">
        <v>22</v>
      </c>
      <c r="M485" s="11" t="s">
        <v>1382</v>
      </c>
      <c r="N485" s="7" t="str">
        <f t="shared" si="23"/>
        <v>{"name": "The Surgery", "map": "Haven", "fCoords": "1692, 3932", "waCoords": "1701, 3278", "leaflet": "3318.044,  1726.531", "pinType": "Medical", "mapRef": "Map Ref.: E10 (TM)", "type": "Medical", "description": "One of the more trustworthy places to be healed."},</v>
      </c>
    </row>
    <row r="486" spans="1:14" ht="30" x14ac:dyDescent="0.25">
      <c r="A486" s="7" t="s">
        <v>1180</v>
      </c>
      <c r="B486" s="7" t="s">
        <v>1187</v>
      </c>
      <c r="C486" s="6">
        <v>4775</v>
      </c>
      <c r="D486" s="6">
        <v>5955</v>
      </c>
      <c r="E486" s="6" t="str">
        <f>IFERROR(VLOOKUP($A486,tWA[],5,FALSE),"--")</f>
        <v>--</v>
      </c>
      <c r="F486" s="6" t="str">
        <f>IFERROR(VLOOKUP($A486,tWA[],6,FALSE),"--")</f>
        <v>--</v>
      </c>
      <c r="G486" s="18" t="s">
        <v>2190</v>
      </c>
      <c r="H486" s="18">
        <f t="shared" si="21"/>
        <v>1253.7579999999998</v>
      </c>
      <c r="I486" s="18" t="str">
        <f t="shared" si="22"/>
        <v>1253.758,  4872.449</v>
      </c>
      <c r="J486" s="6" t="s">
        <v>1680</v>
      </c>
      <c r="K486" s="6" t="s">
        <v>1026</v>
      </c>
      <c r="L486" s="6" t="s">
        <v>273</v>
      </c>
      <c r="M486" s="11" t="s">
        <v>1226</v>
      </c>
      <c r="N486" s="7" t="str">
        <f t="shared" si="23"/>
        <v>{"name": "The Thieves' Guild House", "map": "Haven", "fCoords": "4775, 5955", "waCoords": "--, --", "leaflet": "1253.758,  4872.449", "pinType": "Guild", "mapRef": "Map Ref.: P04 (FS)", "type": "Guildhouse", "description": ""},</v>
      </c>
    </row>
    <row r="487" spans="1:14" ht="30" x14ac:dyDescent="0.25">
      <c r="A487" s="7" t="s">
        <v>1027</v>
      </c>
      <c r="B487" s="7" t="s">
        <v>1187</v>
      </c>
      <c r="C487" s="6">
        <v>2296</v>
      </c>
      <c r="D487" s="6">
        <v>959</v>
      </c>
      <c r="E487" s="6" t="str">
        <f>IFERROR(VLOOKUP($A487,tWA[],5,FALSE),"--")</f>
        <v>--</v>
      </c>
      <c r="F487" s="6" t="str">
        <f>IFERROR(VLOOKUP($A487,tWA[],6,FALSE),"--")</f>
        <v>--</v>
      </c>
      <c r="G487" s="18" t="s">
        <v>2191</v>
      </c>
      <c r="H487" s="18">
        <f t="shared" si="21"/>
        <v>6351.7170000000006</v>
      </c>
      <c r="I487" s="18" t="str">
        <f t="shared" si="22"/>
        <v>6351.717,  2342.857</v>
      </c>
      <c r="J487" s="6" t="s">
        <v>1218</v>
      </c>
      <c r="K487" s="6" t="s">
        <v>1029</v>
      </c>
      <c r="L487" s="6" t="s">
        <v>1028</v>
      </c>
      <c r="M487" s="11" t="s">
        <v>1226</v>
      </c>
      <c r="N487" s="7" t="str">
        <f t="shared" si="23"/>
        <v>{"name": "The Tool Shed", "map": "Haven", "fCoords": "2296, 959", "waCoords": "--, --", "leaflet": "6351.717,  2342.857", "pinType": "Shopping", "mapRef": "Map Ref.: G20 (CL)", "type": "Tools", "description": ""},</v>
      </c>
    </row>
    <row r="488" spans="1:14" ht="30" x14ac:dyDescent="0.25">
      <c r="A488" s="7" t="s">
        <v>1030</v>
      </c>
      <c r="B488" s="7" t="s">
        <v>1187</v>
      </c>
      <c r="C488" s="6">
        <v>5489</v>
      </c>
      <c r="D488" s="6">
        <v>1274</v>
      </c>
      <c r="E488" s="6" t="str">
        <f>IFERROR(VLOOKUP($A488,tWA[],5,FALSE),"--")</f>
        <v>--</v>
      </c>
      <c r="F488" s="6" t="str">
        <f>IFERROR(VLOOKUP($A488,tWA[],6,FALSE),"--")</f>
        <v>--</v>
      </c>
      <c r="G488" s="18" t="s">
        <v>2192</v>
      </c>
      <c r="H488" s="18">
        <f t="shared" si="21"/>
        <v>6030.2890000000007</v>
      </c>
      <c r="I488" s="18" t="str">
        <f t="shared" si="22"/>
        <v>6030.289,  5601.02</v>
      </c>
      <c r="J488" s="6" t="s">
        <v>1677</v>
      </c>
      <c r="K488" s="6" t="s">
        <v>1031</v>
      </c>
      <c r="L488" s="6" t="s">
        <v>222</v>
      </c>
      <c r="M488" s="11" t="s">
        <v>1226</v>
      </c>
      <c r="N488" s="7" t="str">
        <f t="shared" si="23"/>
        <v>{"name": "The Topaz Health Center", "map": "Haven", "fCoords": "5489, 1274", "waCoords": "--, --", "leaflet": "6030.289,  5601.02", "pinType": "Service", "mapRef": "Map Ref.: S19 (HJ)", "type": "Training", "description": ""},</v>
      </c>
    </row>
    <row r="489" spans="1:14" ht="45" x14ac:dyDescent="0.25">
      <c r="A489" s="7" t="s">
        <v>1032</v>
      </c>
      <c r="B489" s="7" t="s">
        <v>1187</v>
      </c>
      <c r="C489" s="6">
        <v>1244</v>
      </c>
      <c r="D489" s="6">
        <v>2875</v>
      </c>
      <c r="E489" s="6" t="str">
        <f>IFERROR(VLOOKUP($A489,tWA[],5,FALSE),"--")</f>
        <v>1192</v>
      </c>
      <c r="F489" s="6" t="str">
        <f>IFERROR(VLOOKUP($A489,tWA[],6,FALSE),"--")</f>
        <v>4348</v>
      </c>
      <c r="G489" s="18" t="s">
        <v>2193</v>
      </c>
      <c r="H489" s="18">
        <f t="shared" si="21"/>
        <v>4396.6150000000007</v>
      </c>
      <c r="I489" s="18" t="str">
        <f t="shared" si="22"/>
        <v>4396.615,  1269.388</v>
      </c>
      <c r="J489" s="6" t="s">
        <v>1678</v>
      </c>
      <c r="K489" s="6" t="s">
        <v>1033</v>
      </c>
      <c r="L489" s="6" t="s">
        <v>123</v>
      </c>
      <c r="M489" s="11" t="s">
        <v>1380</v>
      </c>
      <c r="N489" s="7" t="str">
        <f t="shared" si="23"/>
        <v>{"name": "The Tower of the Kindred Races", "map": "Haven", "fCoords": "1244, 2875", "waCoords": "1192, 4348", "leaflet": "4396.615,  1269.388", "pinType": "Landmark", "mapRef": "Map Ref.: D14 (IX)", "type": "Monument", "description": "A monument to racial harmony"},</v>
      </c>
    </row>
    <row r="490" spans="1:14" ht="45" x14ac:dyDescent="0.25">
      <c r="A490" s="7" t="s">
        <v>1034</v>
      </c>
      <c r="B490" s="7" t="s">
        <v>1187</v>
      </c>
      <c r="C490" s="6">
        <v>1219</v>
      </c>
      <c r="D490" s="6">
        <v>4217</v>
      </c>
      <c r="E490" s="6" t="str">
        <f>IFERROR(VLOOKUP($A490,tWA[],5,FALSE),"--")</f>
        <v>1216</v>
      </c>
      <c r="F490" s="6" t="str">
        <f>IFERROR(VLOOKUP($A490,tWA[],6,FALSE),"--")</f>
        <v>2957</v>
      </c>
      <c r="G490" s="18" t="s">
        <v>2194</v>
      </c>
      <c r="H490" s="18">
        <f t="shared" si="21"/>
        <v>3027.2280000000001</v>
      </c>
      <c r="I490" s="18" t="str">
        <f t="shared" si="22"/>
        <v>3027.228,  1243.878</v>
      </c>
      <c r="J490" s="6" t="s">
        <v>1204</v>
      </c>
      <c r="K490" s="6" t="s">
        <v>1035</v>
      </c>
      <c r="L490" s="6" t="s">
        <v>16</v>
      </c>
      <c r="M490" s="11" t="s">
        <v>1363</v>
      </c>
      <c r="N490" s="7" t="str">
        <f t="shared" si="23"/>
        <v>{"name": "The Trembling Heart", "map": "Haven", "fCoords": "1219, 4217", "waCoords": "1216, 2957", "leaflet": "3027.228,  1243.878", "pinType": "Inns &amp; Taverns", "mapRef": "Map Ref.: D09 (LL)", "type": "Inn", "description": "One of the more well known inns/taverns in haven"},</v>
      </c>
    </row>
    <row r="491" spans="1:14" ht="30" x14ac:dyDescent="0.25">
      <c r="A491" s="7" t="s">
        <v>1036</v>
      </c>
      <c r="B491" s="7" t="s">
        <v>1187</v>
      </c>
      <c r="C491" s="6">
        <v>3853</v>
      </c>
      <c r="D491" s="6">
        <v>4915</v>
      </c>
      <c r="E491" s="6" t="str">
        <f>IFERROR(VLOOKUP($A491,tWA[],5,FALSE),"--")</f>
        <v>--</v>
      </c>
      <c r="F491" s="6" t="str">
        <f>IFERROR(VLOOKUP($A491,tWA[],6,FALSE),"--")</f>
        <v>--</v>
      </c>
      <c r="G491" s="18" t="s">
        <v>2195</v>
      </c>
      <c r="H491" s="18">
        <f t="shared" si="21"/>
        <v>2314.9829999999997</v>
      </c>
      <c r="I491" s="18" t="str">
        <f t="shared" si="22"/>
        <v>2314.983,  3931.633</v>
      </c>
      <c r="J491" s="6" t="s">
        <v>1204</v>
      </c>
      <c r="K491" s="6" t="s">
        <v>1037</v>
      </c>
      <c r="L491" s="6" t="s">
        <v>68</v>
      </c>
      <c r="M491" s="11" t="s">
        <v>1226</v>
      </c>
      <c r="N491" s="7" t="str">
        <f t="shared" si="23"/>
        <v>{"name": "The Troubled Troubadour", "map": "Haven", "fCoords": "3853, 4915", "waCoords": "--, --", "leaflet": "2314.983,  3931.633", "pinType": "Inns &amp; Taverns", "mapRef": "Map Ref.: M07 (DJ)", "type": "Tavern", "description": ""},</v>
      </c>
    </row>
    <row r="492" spans="1:14" ht="30" x14ac:dyDescent="0.25">
      <c r="A492" s="7" t="s">
        <v>1038</v>
      </c>
      <c r="B492" s="7" t="s">
        <v>1187</v>
      </c>
      <c r="C492" s="6">
        <v>2328</v>
      </c>
      <c r="D492" s="6">
        <v>4812</v>
      </c>
      <c r="E492" s="6" t="str">
        <f>IFERROR(VLOOKUP($A492,tWA[],5,FALSE),"--")</f>
        <v>--</v>
      </c>
      <c r="F492" s="6" t="str">
        <f>IFERROR(VLOOKUP($A492,tWA[],6,FALSE),"--")</f>
        <v>--</v>
      </c>
      <c r="G492" s="18" t="s">
        <v>2196</v>
      </c>
      <c r="H492" s="18">
        <f t="shared" si="21"/>
        <v>2420.085</v>
      </c>
      <c r="I492" s="18" t="str">
        <f t="shared" si="22"/>
        <v>2420.085,  2375.51</v>
      </c>
      <c r="J492" s="6" t="s">
        <v>1218</v>
      </c>
      <c r="K492" s="6" t="s">
        <v>1039</v>
      </c>
      <c r="L492" s="6" t="s">
        <v>198</v>
      </c>
      <c r="M492" s="11" t="s">
        <v>1226</v>
      </c>
      <c r="N492" s="7" t="str">
        <f t="shared" si="23"/>
        <v>{"name": "The Trumpet's Call", "map": "Haven", "fCoords": "2328, 4812", "waCoords": "--, --", "leaflet": "2420.085,  2375.51", "pinType": "Shopping", "mapRef": "Map Ref.: H07 (MR)", "type": "Musical Instruments", "description": ""},</v>
      </c>
    </row>
    <row r="493" spans="1:14" ht="30" x14ac:dyDescent="0.25">
      <c r="A493" s="7" t="s">
        <v>1040</v>
      </c>
      <c r="B493" s="7" t="s">
        <v>1187</v>
      </c>
      <c r="C493" s="6">
        <v>3809</v>
      </c>
      <c r="D493" s="6">
        <v>4759</v>
      </c>
      <c r="E493" s="6" t="str">
        <f>IFERROR(VLOOKUP($A493,tWA[],5,FALSE),"--")</f>
        <v>--</v>
      </c>
      <c r="F493" s="6" t="str">
        <f>IFERROR(VLOOKUP($A493,tWA[],6,FALSE),"--")</f>
        <v>--</v>
      </c>
      <c r="G493" s="18" t="s">
        <v>2197</v>
      </c>
      <c r="H493" s="18">
        <f t="shared" si="21"/>
        <v>2474.1659999999997</v>
      </c>
      <c r="I493" s="18" t="str">
        <f t="shared" si="22"/>
        <v>2474.166,  3886.735</v>
      </c>
      <c r="J493" s="6" t="s">
        <v>1204</v>
      </c>
      <c r="K493" s="6" t="s">
        <v>1041</v>
      </c>
      <c r="L493" s="6" t="s">
        <v>68</v>
      </c>
      <c r="M493" s="11" t="s">
        <v>1226</v>
      </c>
      <c r="N493" s="7" t="str">
        <f t="shared" si="23"/>
        <v>{"name": "The Virgin's Flute", "map": "Haven", "fCoords": "3809, 4759", "waCoords": "--, --", "leaflet": "2474.166,  3886.735", "pinType": "Inns &amp; Taverns", "mapRef": "Map Ref.: M08 (EC)", "type": "Tavern", "description": ""},</v>
      </c>
    </row>
    <row r="494" spans="1:14" ht="30" x14ac:dyDescent="0.25">
      <c r="A494" s="7" t="s">
        <v>1042</v>
      </c>
      <c r="B494" s="7" t="s">
        <v>1187</v>
      </c>
      <c r="C494" s="6">
        <v>4821</v>
      </c>
      <c r="D494" s="6">
        <v>4223</v>
      </c>
      <c r="E494" s="6" t="str">
        <f>IFERROR(VLOOKUP($A494,tWA[],5,FALSE),"--")</f>
        <v>--</v>
      </c>
      <c r="F494" s="6" t="str">
        <f>IFERROR(VLOOKUP($A494,tWA[],6,FALSE),"--")</f>
        <v>--</v>
      </c>
      <c r="G494" s="18" t="s">
        <v>2198</v>
      </c>
      <c r="H494" s="18">
        <f t="shared" si="21"/>
        <v>3021.105</v>
      </c>
      <c r="I494" s="18" t="str">
        <f t="shared" si="22"/>
        <v>3021.105,  4919.388</v>
      </c>
      <c r="J494" s="6" t="s">
        <v>70</v>
      </c>
      <c r="K494" s="6" t="s">
        <v>1044</v>
      </c>
      <c r="L494" s="6" t="s">
        <v>1043</v>
      </c>
      <c r="M494" s="11" t="s">
        <v>1226</v>
      </c>
      <c r="N494" s="7" t="str">
        <f t="shared" si="23"/>
        <v>{"name": "The Wandering Folk Camp", "map": "Haven", "fCoords": "4821, 4223", "waCoords": "--, --", "leaflet": "3021.105,  4919.388", "pinType": "Residence", "mapRef": "Map Ref.: P09 (RP)", "type": "Campsite", "description": ""},</v>
      </c>
    </row>
    <row r="495" spans="1:14" ht="30" x14ac:dyDescent="0.25">
      <c r="A495" s="7" t="s">
        <v>1045</v>
      </c>
      <c r="B495" s="7" t="s">
        <v>1187</v>
      </c>
      <c r="C495" s="6">
        <v>6181</v>
      </c>
      <c r="D495" s="6">
        <v>4734</v>
      </c>
      <c r="E495" s="6" t="str">
        <f>IFERROR(VLOOKUP($A495,tWA[],5,FALSE),"--")</f>
        <v>--</v>
      </c>
      <c r="F495" s="6" t="str">
        <f>IFERROR(VLOOKUP($A495,tWA[],6,FALSE),"--")</f>
        <v>--</v>
      </c>
      <c r="G495" s="18" t="s">
        <v>2199</v>
      </c>
      <c r="H495" s="18">
        <f t="shared" si="21"/>
        <v>2499.6770000000001</v>
      </c>
      <c r="I495" s="18" t="str">
        <f t="shared" si="22"/>
        <v>2499.677,  6307.143</v>
      </c>
      <c r="J495" s="6" t="s">
        <v>1204</v>
      </c>
      <c r="K495" s="6" t="s">
        <v>1046</v>
      </c>
      <c r="L495" s="6" t="s">
        <v>68</v>
      </c>
      <c r="M495" s="11" t="s">
        <v>1226</v>
      </c>
      <c r="N495" s="7" t="str">
        <f t="shared" si="23"/>
        <v>{"name": "The Waterlogged Rat", "map": "Haven", "fCoords": "6181, 4734", "waCoords": "--, --", "leaflet": "2499.677,  6307.143", "pinType": "Inns &amp; Taverns", "mapRef": "Map Ref.: U08 (BK)", "type": "Tavern", "description": ""},</v>
      </c>
    </row>
    <row r="496" spans="1:14" ht="30" x14ac:dyDescent="0.25">
      <c r="A496" s="7" t="s">
        <v>1047</v>
      </c>
      <c r="B496" s="7" t="s">
        <v>1187</v>
      </c>
      <c r="C496" s="6">
        <v>1846</v>
      </c>
      <c r="D496" s="6">
        <v>5504</v>
      </c>
      <c r="E496" s="6" t="str">
        <f>IFERROR(VLOOKUP($A496,tWA[],5,FALSE),"--")</f>
        <v>--</v>
      </c>
      <c r="F496" s="6" t="str">
        <f>IFERROR(VLOOKUP($A496,tWA[],6,FALSE),"--")</f>
        <v>--</v>
      </c>
      <c r="G496" s="18" t="s">
        <v>2200</v>
      </c>
      <c r="H496" s="18">
        <f t="shared" si="21"/>
        <v>1713.962</v>
      </c>
      <c r="I496" s="18" t="str">
        <f t="shared" si="22"/>
        <v>1713.962,  1883.673</v>
      </c>
      <c r="J496" s="6" t="s">
        <v>70</v>
      </c>
      <c r="K496" s="6" t="s">
        <v>1048</v>
      </c>
      <c r="L496" s="6" t="s">
        <v>117</v>
      </c>
      <c r="M496" s="11" t="s">
        <v>1226</v>
      </c>
      <c r="N496" s="7" t="str">
        <f t="shared" si="23"/>
        <v>{"name": "The Widow Shelakii - Rooms", "map": "Haven", "fCoords": "1846, 5504", "waCoords": "--, --", "leaflet": "1713.962,  1883.673", "pinType": "Residence", "mapRef": "Map Ref.: F05 (QK)", "type": "Rooming House", "description": ""},</v>
      </c>
    </row>
    <row r="497" spans="1:14" ht="30" x14ac:dyDescent="0.25">
      <c r="A497" s="7" t="s">
        <v>1049</v>
      </c>
      <c r="B497" s="7" t="s">
        <v>1187</v>
      </c>
      <c r="C497" s="6">
        <v>3207</v>
      </c>
      <c r="D497" s="6">
        <v>3896</v>
      </c>
      <c r="E497" s="6" t="str">
        <f>IFERROR(VLOOKUP($A497,tWA[],5,FALSE),"--")</f>
        <v>--</v>
      </c>
      <c r="F497" s="6" t="str">
        <f>IFERROR(VLOOKUP($A497,tWA[],6,FALSE),"--")</f>
        <v>--</v>
      </c>
      <c r="G497" s="18" t="s">
        <v>2201</v>
      </c>
      <c r="H497" s="18">
        <f t="shared" si="21"/>
        <v>3354.779</v>
      </c>
      <c r="I497" s="18" t="str">
        <f t="shared" si="22"/>
        <v>3354.779,  3272.449</v>
      </c>
      <c r="J497" s="6" t="s">
        <v>1218</v>
      </c>
      <c r="K497" s="6" t="s">
        <v>1050</v>
      </c>
      <c r="L497" s="6" t="s">
        <v>36</v>
      </c>
      <c r="M497" s="11" t="s">
        <v>1226</v>
      </c>
      <c r="N497" s="7" t="str">
        <f t="shared" si="23"/>
        <v>{"name": "The Wine Shop", "map": "Haven", "fCoords": "3207, 3896", "waCoords": "--, --", "leaflet": "3354.779,  3272.449", "pinType": "Shopping", "mapRef": "Map Ref.: K10 (JR)", "type": "Vintner", "description": ""},</v>
      </c>
    </row>
    <row r="498" spans="1:14" ht="45" x14ac:dyDescent="0.25">
      <c r="A498" s="7" t="s">
        <v>1051</v>
      </c>
      <c r="B498" s="7" t="s">
        <v>1187</v>
      </c>
      <c r="C498" s="6">
        <v>2798</v>
      </c>
      <c r="D498" s="6">
        <v>4008</v>
      </c>
      <c r="E498" s="6" t="str">
        <f>IFERROR(VLOOKUP($A498,tWA[],5,FALSE),"--")</f>
        <v>2797</v>
      </c>
      <c r="F498" s="6" t="str">
        <f>IFERROR(VLOOKUP($A498,tWA[],6,FALSE),"--")</f>
        <v>3171</v>
      </c>
      <c r="G498" s="18" t="s">
        <v>2202</v>
      </c>
      <c r="H498" s="18">
        <f t="shared" si="21"/>
        <v>3240.4929999999999</v>
      </c>
      <c r="I498" s="18" t="str">
        <f t="shared" si="22"/>
        <v>3240.493,  2855.102</v>
      </c>
      <c r="J498" s="6" t="s">
        <v>1204</v>
      </c>
      <c r="K498" s="6" t="s">
        <v>1052</v>
      </c>
      <c r="L498" s="6" t="s">
        <v>16</v>
      </c>
      <c r="M498" s="11" t="s">
        <v>1363</v>
      </c>
      <c r="N498" s="7" t="str">
        <f t="shared" si="23"/>
        <v>{"name": "The Wizards' Staff", "map": "Haven", "fCoords": "2798, 4008", "waCoords": "2797, 3171", "leaflet": "3240.493,  2855.102", "pinType": "Inns &amp; Taverns", "mapRef": "Map Ref.: I10 (JH)", "type": "Inn", "description": "One of the more well known inns/taverns in haven"},</v>
      </c>
    </row>
    <row r="499" spans="1:14" ht="30" x14ac:dyDescent="0.25">
      <c r="A499" s="7" t="s">
        <v>1053</v>
      </c>
      <c r="B499" s="7" t="s">
        <v>1187</v>
      </c>
      <c r="C499" s="6">
        <v>3229</v>
      </c>
      <c r="D499" s="6">
        <v>3876</v>
      </c>
      <c r="E499" s="6" t="str">
        <f>IFERROR(VLOOKUP($A499,tWA[],5,FALSE),"--")</f>
        <v>--</v>
      </c>
      <c r="F499" s="6" t="str">
        <f>IFERROR(VLOOKUP($A499,tWA[],6,FALSE),"--")</f>
        <v>--</v>
      </c>
      <c r="G499" s="18" t="s">
        <v>2203</v>
      </c>
      <c r="H499" s="18">
        <f t="shared" si="21"/>
        <v>3375.1869999999999</v>
      </c>
      <c r="I499" s="18" t="str">
        <f t="shared" si="22"/>
        <v>3375.187,  3294.898</v>
      </c>
      <c r="J499" s="6" t="s">
        <v>1677</v>
      </c>
      <c r="K499" s="6" t="s">
        <v>1054</v>
      </c>
      <c r="L499" s="6" t="s">
        <v>475</v>
      </c>
      <c r="M499" s="11" t="s">
        <v>1226</v>
      </c>
      <c r="N499" s="7" t="str">
        <f t="shared" si="23"/>
        <v>{"name": "Theseus Pennywhistle - Caterer", "map": "Haven", "fCoords": "3229, 3876", "waCoords": "--, --", "leaflet": "3375.187,  3294.898", "pinType": "Service", "mapRef": "Map Ref.: K11 (JS)", "type": "Other Services", "description": ""},</v>
      </c>
    </row>
    <row r="500" spans="1:14" ht="30" x14ac:dyDescent="0.25">
      <c r="A500" s="7" t="s">
        <v>1181</v>
      </c>
      <c r="B500" s="7" t="s">
        <v>1187</v>
      </c>
      <c r="C500" s="6">
        <v>4791</v>
      </c>
      <c r="D500" s="6">
        <v>5957</v>
      </c>
      <c r="E500" s="6" t="str">
        <f>IFERROR(VLOOKUP($A500,tWA[],5,FALSE),"--")</f>
        <v>--</v>
      </c>
      <c r="F500" s="6" t="str">
        <f>IFERROR(VLOOKUP($A500,tWA[],6,FALSE),"--")</f>
        <v>--</v>
      </c>
      <c r="G500" s="18" t="s">
        <v>2204</v>
      </c>
      <c r="H500" s="18">
        <f t="shared" si="21"/>
        <v>1251.7169999999999</v>
      </c>
      <c r="I500" s="18" t="str">
        <f t="shared" si="22"/>
        <v>1251.717,  4888.776</v>
      </c>
      <c r="J500" s="6" t="s">
        <v>1680</v>
      </c>
      <c r="K500" s="6" t="s">
        <v>1055</v>
      </c>
      <c r="L500" s="6" t="s">
        <v>273</v>
      </c>
      <c r="M500" s="11" t="s">
        <v>1226</v>
      </c>
      <c r="N500" s="7" t="str">
        <f t="shared" si="23"/>
        <v>{"name": "Thieves' Guild Meeting Hall", "map": "Haven", "fCoords": "4791, 5957", "waCoords": "--, --", "leaflet": "1251.717,  4888.776", "pinType": "Guild", "mapRef": "Map Ref.: P04 (TI)", "type": "Guildhouse", "description": ""},</v>
      </c>
    </row>
    <row r="501" spans="1:14" ht="30" x14ac:dyDescent="0.25">
      <c r="A501" s="7" t="s">
        <v>1056</v>
      </c>
      <c r="B501" s="7" t="s">
        <v>1187</v>
      </c>
      <c r="C501" s="6">
        <v>2969</v>
      </c>
      <c r="D501" s="6">
        <v>4429</v>
      </c>
      <c r="E501" s="6" t="str">
        <f>IFERROR(VLOOKUP($A501,tWA[],5,FALSE),"--")</f>
        <v>--</v>
      </c>
      <c r="F501" s="6" t="str">
        <f>IFERROR(VLOOKUP($A501,tWA[],6,FALSE),"--")</f>
        <v>--</v>
      </c>
      <c r="G501" s="18" t="s">
        <v>2205</v>
      </c>
      <c r="H501" s="18">
        <f t="shared" si="21"/>
        <v>2810.9009999999998</v>
      </c>
      <c r="I501" s="18" t="str">
        <f t="shared" si="22"/>
        <v>2810.901,  3029.592</v>
      </c>
      <c r="J501" s="6" t="s">
        <v>1218</v>
      </c>
      <c r="K501" s="6" t="s">
        <v>1058</v>
      </c>
      <c r="L501" s="6" t="s">
        <v>1057</v>
      </c>
      <c r="M501" s="11" t="s">
        <v>1226</v>
      </c>
      <c r="N501" s="7" t="str">
        <f t="shared" si="23"/>
        <v>{"name": "Thorn - Wheelwright", "map": "Haven", "fCoords": "2969, 4429", "waCoords": "--, --", "leaflet": "2810.901,  3029.592", "pinType": "Shopping", "mapRef": "Map Ref.: J09 (OC)", "type": "Wheelwright", "description": ""},</v>
      </c>
    </row>
    <row r="502" spans="1:14" ht="30" x14ac:dyDescent="0.25">
      <c r="A502" s="7" t="s">
        <v>1059</v>
      </c>
      <c r="B502" s="7" t="s">
        <v>1187</v>
      </c>
      <c r="C502" s="6">
        <v>1032</v>
      </c>
      <c r="D502" s="6">
        <v>2903</v>
      </c>
      <c r="E502" s="6" t="str">
        <f>IFERROR(VLOOKUP($A502,tWA[],5,FALSE),"--")</f>
        <v>--</v>
      </c>
      <c r="F502" s="6" t="str">
        <f>IFERROR(VLOOKUP($A502,tWA[],6,FALSE),"--")</f>
        <v>--</v>
      </c>
      <c r="G502" s="18" t="s">
        <v>2206</v>
      </c>
      <c r="H502" s="18">
        <f t="shared" si="21"/>
        <v>4368.0440000000008</v>
      </c>
      <c r="I502" s="18" t="str">
        <f t="shared" si="22"/>
        <v>4368.044,  1053.061</v>
      </c>
      <c r="J502" s="6" t="s">
        <v>1218</v>
      </c>
      <c r="K502" s="6" t="s">
        <v>1060</v>
      </c>
      <c r="L502" s="6" t="s">
        <v>400</v>
      </c>
      <c r="M502" s="11" t="s">
        <v>1226</v>
      </c>
      <c r="N502" s="7" t="str">
        <f t="shared" si="23"/>
        <v>{"name": "Thrivin - Goldsmith", "map": "Haven", "fCoords": "1032, 2903", "waCoords": "--, --", "leaflet": "4368.044,  1053.061", "pinType": "Shopping", "mapRef": "Map Ref.: C14 (IB)", "type": "Banking", "description": ""},</v>
      </c>
    </row>
    <row r="503" spans="1:14" ht="30" x14ac:dyDescent="0.25">
      <c r="A503" s="7" t="s">
        <v>1061</v>
      </c>
      <c r="B503" s="7" t="s">
        <v>1187</v>
      </c>
      <c r="C503" s="6">
        <v>3678</v>
      </c>
      <c r="D503" s="6">
        <v>6109</v>
      </c>
      <c r="E503" s="6" t="str">
        <f>IFERROR(VLOOKUP($A503,tWA[],5,FALSE),"--")</f>
        <v>--</v>
      </c>
      <c r="F503" s="6" t="str">
        <f>IFERROR(VLOOKUP($A503,tWA[],6,FALSE),"--")</f>
        <v>--</v>
      </c>
      <c r="G503" s="18" t="s">
        <v>2207</v>
      </c>
      <c r="H503" s="18">
        <f t="shared" si="21"/>
        <v>1096.615</v>
      </c>
      <c r="I503" s="18" t="str">
        <f t="shared" si="22"/>
        <v>1096.615,  3753.061</v>
      </c>
      <c r="J503" s="6" t="s">
        <v>1218</v>
      </c>
      <c r="K503" s="6" t="s">
        <v>1062</v>
      </c>
      <c r="L503" s="6" t="s">
        <v>1057</v>
      </c>
      <c r="M503" s="11" t="s">
        <v>1226</v>
      </c>
      <c r="N503" s="7" t="str">
        <f t="shared" si="23"/>
        <v>{"name": "Tiropodus - Wheelwright", "map": "Haven", "fCoords": "3678, 6109", "waCoords": "--, --", "leaflet": "1096.615,  3753.061", "pinType": "Shopping", "mapRef": "Map Ref.: L03 (EX)", "type": "Wheelwright", "description": ""},</v>
      </c>
    </row>
    <row r="504" spans="1:14" ht="30" x14ac:dyDescent="0.25">
      <c r="A504" s="7" t="s">
        <v>1063</v>
      </c>
      <c r="B504" s="7" t="s">
        <v>1187</v>
      </c>
      <c r="C504" s="6">
        <v>2972</v>
      </c>
      <c r="D504" s="6">
        <v>5843</v>
      </c>
      <c r="E504" s="6" t="str">
        <f>IFERROR(VLOOKUP($A504,tWA[],5,FALSE),"--")</f>
        <v>--</v>
      </c>
      <c r="F504" s="6" t="str">
        <f>IFERROR(VLOOKUP($A504,tWA[],6,FALSE),"--")</f>
        <v>--</v>
      </c>
      <c r="G504" s="18" t="s">
        <v>2208</v>
      </c>
      <c r="H504" s="18">
        <f t="shared" si="21"/>
        <v>1368.0439999999999</v>
      </c>
      <c r="I504" s="18" t="str">
        <f t="shared" si="22"/>
        <v>1368.044,  3032.653</v>
      </c>
      <c r="J504" s="6" t="s">
        <v>1218</v>
      </c>
      <c r="K504" s="6" t="s">
        <v>1064</v>
      </c>
      <c r="L504" s="6" t="s">
        <v>244</v>
      </c>
      <c r="M504" s="11" t="s">
        <v>1226</v>
      </c>
      <c r="N504" s="7" t="str">
        <f t="shared" si="23"/>
        <v>{"name": "Tobler's Livery Stable", "map": "Haven", "fCoords": "2972, 5843", "waCoords": "--, --", "leaflet": "1368.044,  3032.653", "pinType": "Shopping", "mapRef": "Map Ref.: J04 (OX)", "type": "Livery", "description": ""},</v>
      </c>
    </row>
    <row r="505" spans="1:14" ht="30" x14ac:dyDescent="0.25">
      <c r="A505" s="7" t="s">
        <v>1065</v>
      </c>
      <c r="B505" s="7" t="s">
        <v>1187</v>
      </c>
      <c r="C505" s="6">
        <v>1322</v>
      </c>
      <c r="D505" s="6">
        <v>2871</v>
      </c>
      <c r="E505" s="6" t="str">
        <f>IFERROR(VLOOKUP($A505,tWA[],5,FALSE),"--")</f>
        <v>1299</v>
      </c>
      <c r="F505" s="6" t="str">
        <f>IFERROR(VLOOKUP($A505,tWA[],6,FALSE),"--")</f>
        <v>4301</v>
      </c>
      <c r="G505" s="18" t="s">
        <v>2209</v>
      </c>
      <c r="H505" s="18">
        <f t="shared" si="21"/>
        <v>4400.6970000000001</v>
      </c>
      <c r="I505" s="18" t="str">
        <f t="shared" si="22"/>
        <v>4400.697,  1348.98</v>
      </c>
      <c r="J505" s="6" t="s">
        <v>9</v>
      </c>
      <c r="K505" s="6" t="s">
        <v>1066</v>
      </c>
      <c r="L505" s="6" t="s">
        <v>9</v>
      </c>
      <c r="M505" s="11" t="s">
        <v>1340</v>
      </c>
      <c r="N505" s="7" t="str">
        <f t="shared" si="23"/>
        <v>{"name": "Tower Station", "map": "Haven", "fCoords": "1322, 2871", "waCoords": "1299, 4301", "leaflet": "4400.697,  1348.98", "pinType": "City Guard", "mapRef": "Map Ref.: D14 (KF)", "type": "City Guard", "description": "A City Watch station."},</v>
      </c>
    </row>
    <row r="506" spans="1:14" ht="30" x14ac:dyDescent="0.25">
      <c r="A506" s="7" t="s">
        <v>1182</v>
      </c>
      <c r="B506" s="7" t="s">
        <v>1187</v>
      </c>
      <c r="C506" s="6">
        <v>2182</v>
      </c>
      <c r="D506" s="6">
        <v>2315</v>
      </c>
      <c r="E506" s="6" t="str">
        <f>IFERROR(VLOOKUP($A506,tWA[],5,FALSE),"--")</f>
        <v>--</v>
      </c>
      <c r="F506" s="6" t="str">
        <f>IFERROR(VLOOKUP($A506,tWA[],6,FALSE),"--")</f>
        <v>--</v>
      </c>
      <c r="G506" s="18" t="s">
        <v>2210</v>
      </c>
      <c r="H506" s="18">
        <f t="shared" si="21"/>
        <v>4968.0440000000008</v>
      </c>
      <c r="I506" s="18" t="str">
        <f t="shared" si="22"/>
        <v>4968.044,  2226.531</v>
      </c>
      <c r="J506" s="6" t="s">
        <v>70</v>
      </c>
      <c r="K506" s="6" t="s">
        <v>1068</v>
      </c>
      <c r="L506" s="6" t="s">
        <v>1067</v>
      </c>
      <c r="M506" s="11" t="s">
        <v>1226</v>
      </c>
      <c r="N506" s="7" t="str">
        <f t="shared" si="23"/>
        <v>{"name": "Treehouse Residence of Osondrea", "map": "Haven", "fCoords": "2182, 2315", "waCoords": "--, --", "leaflet": "4968.044,  2226.531", "pinType": "Residence", "mapRef": "Map Ref.: G16 (SQ)", "type": "Treehouse", "description": ""},</v>
      </c>
    </row>
    <row r="507" spans="1:14" ht="30" x14ac:dyDescent="0.25">
      <c r="A507" s="7" t="s">
        <v>1069</v>
      </c>
      <c r="B507" s="7" t="s">
        <v>1187</v>
      </c>
      <c r="C507" s="6">
        <v>1736</v>
      </c>
      <c r="D507" s="6">
        <v>3232</v>
      </c>
      <c r="E507" s="6" t="str">
        <f>IFERROR(VLOOKUP($A507,tWA[],5,FALSE),"--")</f>
        <v>--</v>
      </c>
      <c r="F507" s="6" t="str">
        <f>IFERROR(VLOOKUP($A507,tWA[],6,FALSE),"--")</f>
        <v>--</v>
      </c>
      <c r="G507" s="18" t="s">
        <v>2211</v>
      </c>
      <c r="H507" s="18">
        <f t="shared" si="21"/>
        <v>4032.33</v>
      </c>
      <c r="I507" s="18" t="str">
        <f t="shared" si="22"/>
        <v>4032.33,  1771.429</v>
      </c>
      <c r="J507" s="6" t="s">
        <v>1677</v>
      </c>
      <c r="K507" s="6" t="s">
        <v>1070</v>
      </c>
      <c r="L507" s="6" t="s">
        <v>343</v>
      </c>
      <c r="M507" s="11" t="s">
        <v>1226</v>
      </c>
      <c r="N507" s="7" t="str">
        <f t="shared" si="23"/>
        <v>{"name": "Trencher's Pony Stable", "map": "Haven", "fCoords": "1736, 3232", "waCoords": "--, --", "leaflet": "4032.33,  1771.429", "pinType": "Service", "mapRef": "Map Ref.: F13 (IR)", "type": "Stable", "description": ""},</v>
      </c>
    </row>
    <row r="508" spans="1:14" ht="45" x14ac:dyDescent="0.25">
      <c r="A508" s="7" t="s">
        <v>1071</v>
      </c>
      <c r="B508" s="7" t="s">
        <v>1187</v>
      </c>
      <c r="C508" s="6">
        <v>1805</v>
      </c>
      <c r="D508" s="6">
        <v>4682</v>
      </c>
      <c r="E508" s="6" t="str">
        <f>IFERROR(VLOOKUP($A508,tWA[],5,FALSE),"--")</f>
        <v>1805</v>
      </c>
      <c r="F508" s="6" t="str">
        <f>IFERROR(VLOOKUP($A508,tWA[],6,FALSE),"--")</f>
        <v>2509</v>
      </c>
      <c r="G508" s="18" t="s">
        <v>2212</v>
      </c>
      <c r="H508" s="18">
        <f t="shared" si="21"/>
        <v>2552.7379999999998</v>
      </c>
      <c r="I508" s="18" t="str">
        <f t="shared" si="22"/>
        <v>2552.738,  1841.837</v>
      </c>
      <c r="J508" s="6" t="s">
        <v>1204</v>
      </c>
      <c r="K508" s="6" t="s">
        <v>1072</v>
      </c>
      <c r="L508" s="6" t="s">
        <v>16</v>
      </c>
      <c r="M508" s="11" t="s">
        <v>1363</v>
      </c>
      <c r="N508" s="7" t="str">
        <f t="shared" si="23"/>
        <v>{"name": "Two For The Road", "map": "Haven", "fCoords": "1805, 4682", "waCoords": "1805, 2509", "leaflet": "2552.738,  1841.837", "pinType": "Inns &amp; Taverns", "mapRef": "Map Ref.: F08 (QD)", "type": "Inn", "description": "One of the more well known inns/taverns in haven"},</v>
      </c>
    </row>
    <row r="509" spans="1:14" ht="30" x14ac:dyDescent="0.25">
      <c r="A509" s="7" t="s">
        <v>1073</v>
      </c>
      <c r="B509" s="7" t="s">
        <v>1187</v>
      </c>
      <c r="C509" s="6">
        <v>4705</v>
      </c>
      <c r="D509" s="6">
        <v>2329</v>
      </c>
      <c r="E509" s="6" t="str">
        <f>IFERROR(VLOOKUP($A509,tWA[],5,FALSE),"--")</f>
        <v>--</v>
      </c>
      <c r="F509" s="6" t="str">
        <f>IFERROR(VLOOKUP($A509,tWA[],6,FALSE),"--")</f>
        <v>--</v>
      </c>
      <c r="G509" s="18" t="s">
        <v>2213</v>
      </c>
      <c r="H509" s="18">
        <f t="shared" si="21"/>
        <v>4953.7580000000007</v>
      </c>
      <c r="I509" s="18" t="str">
        <f t="shared" si="22"/>
        <v>4953.758,  4801.02</v>
      </c>
      <c r="J509" s="6" t="s">
        <v>1218</v>
      </c>
      <c r="K509" s="6" t="s">
        <v>1074</v>
      </c>
      <c r="L509" s="6" t="s">
        <v>297</v>
      </c>
      <c r="M509" s="11" t="s">
        <v>1226</v>
      </c>
      <c r="N509" s="7" t="str">
        <f t="shared" si="23"/>
        <v>{"name": "U.N. Owen - Jeweler", "map": "Haven", "fCoords": "4705, 2329", "waCoords": "--, --", "leaflet": "4953.758,  4801.02", "pinType": "Shopping", "mapRef": "Map Ref.: P16 (GI)", "type": "Jeweler", "description": ""},</v>
      </c>
    </row>
    <row r="510" spans="1:14" ht="30" x14ac:dyDescent="0.25">
      <c r="A510" s="7" t="s">
        <v>1075</v>
      </c>
      <c r="B510" s="7" t="s">
        <v>1187</v>
      </c>
      <c r="C510" s="6">
        <v>2338</v>
      </c>
      <c r="D510" s="6">
        <v>4357</v>
      </c>
      <c r="E510" s="6" t="str">
        <f>IFERROR(VLOOKUP($A510,tWA[],5,FALSE),"--")</f>
        <v>--</v>
      </c>
      <c r="F510" s="6" t="str">
        <f>IFERROR(VLOOKUP($A510,tWA[],6,FALSE),"--")</f>
        <v>--</v>
      </c>
      <c r="G510" s="18" t="s">
        <v>2214</v>
      </c>
      <c r="H510" s="18">
        <f t="shared" si="21"/>
        <v>2884.37</v>
      </c>
      <c r="I510" s="18" t="str">
        <f t="shared" si="22"/>
        <v>2884.37,  2385.714</v>
      </c>
      <c r="J510" s="6" t="s">
        <v>1218</v>
      </c>
      <c r="K510" s="6" t="s">
        <v>1076</v>
      </c>
      <c r="L510" s="6" t="s">
        <v>78</v>
      </c>
      <c r="M510" s="11" t="s">
        <v>1226</v>
      </c>
      <c r="N510" s="7" t="str">
        <f t="shared" si="23"/>
        <v>{"name": "Unusual Pets", "map": "Haven", "fCoords": "2338, 4357", "waCoords": "--, --", "leaflet": "2884.37,  2385.714", "pinType": "Shopping", "mapRef": "Map Ref.: H09 (NS)", "type": "Livestock", "description": ""},</v>
      </c>
    </row>
    <row r="511" spans="1:14" ht="30" x14ac:dyDescent="0.25">
      <c r="A511" s="7" t="s">
        <v>1077</v>
      </c>
      <c r="B511" s="7" t="s">
        <v>1187</v>
      </c>
      <c r="C511" s="6">
        <v>743</v>
      </c>
      <c r="D511" s="6">
        <v>2667</v>
      </c>
      <c r="E511" s="6" t="str">
        <f>IFERROR(VLOOKUP($A511,tWA[],5,FALSE),"--")</f>
        <v>--</v>
      </c>
      <c r="F511" s="6" t="str">
        <f>IFERROR(VLOOKUP($A511,tWA[],6,FALSE),"--")</f>
        <v>--</v>
      </c>
      <c r="G511" s="18" t="s">
        <v>2215</v>
      </c>
      <c r="H511" s="18">
        <f t="shared" si="21"/>
        <v>4608.8600000000006</v>
      </c>
      <c r="I511" s="18" t="str">
        <f t="shared" si="22"/>
        <v>4608.86,  758.163</v>
      </c>
      <c r="J511" s="6" t="s">
        <v>1218</v>
      </c>
      <c r="K511" s="6" t="s">
        <v>1078</v>
      </c>
      <c r="L511" s="6" t="s">
        <v>449</v>
      </c>
      <c r="M511" s="11" t="s">
        <v>1226</v>
      </c>
      <c r="N511" s="7" t="str">
        <f t="shared" si="23"/>
        <v>{"name": "Valli - Armorer", "map": "Haven", "fCoords": "743, 2667", "waCoords": "--, --", "leaflet": "4608.86,  758.163", "pinType": "Shopping", "mapRef": "Map Ref.: B15 (HR)", "type": "Armor", "description": ""},</v>
      </c>
    </row>
    <row r="512" spans="1:14" ht="30" x14ac:dyDescent="0.25">
      <c r="A512" s="7" t="s">
        <v>1183</v>
      </c>
      <c r="B512" s="7" t="s">
        <v>1187</v>
      </c>
      <c r="C512" s="6">
        <v>2075</v>
      </c>
      <c r="D512" s="6">
        <v>981</v>
      </c>
      <c r="E512" s="6" t="str">
        <f>IFERROR(VLOOKUP($A512,tWA[],5,FALSE),"--")</f>
        <v>--</v>
      </c>
      <c r="F512" s="6" t="str">
        <f>IFERROR(VLOOKUP($A512,tWA[],6,FALSE),"--")</f>
        <v>--</v>
      </c>
      <c r="G512" s="18" t="s">
        <v>2216</v>
      </c>
      <c r="H512" s="18">
        <f t="shared" si="21"/>
        <v>6329.268</v>
      </c>
      <c r="I512" s="18" t="str">
        <f t="shared" si="22"/>
        <v>6329.268,  2117.347</v>
      </c>
      <c r="J512" s="6" t="s">
        <v>70</v>
      </c>
      <c r="K512" s="6" t="s">
        <v>1079</v>
      </c>
      <c r="L512" s="6" t="s">
        <v>71</v>
      </c>
      <c r="M512" s="11" t="s">
        <v>1226</v>
      </c>
      <c r="N512" s="7" t="str">
        <f t="shared" si="23"/>
        <v>{"name": "Varrasch Family Residence", "map": "Haven", "fCoords": "2075, 981", "waCoords": "--, --", "leaflet": "6329.268,  2117.347", "pinType": "Residence", "mapRef": "Map Ref.: G20 (DD)", "type": "Mansion", "description": ""},</v>
      </c>
    </row>
    <row r="513" spans="1:14" ht="30" x14ac:dyDescent="0.25">
      <c r="A513" s="7" t="s">
        <v>1080</v>
      </c>
      <c r="B513" s="7" t="s">
        <v>1187</v>
      </c>
      <c r="C513" s="6">
        <v>391</v>
      </c>
      <c r="D513" s="6">
        <v>3644</v>
      </c>
      <c r="E513" s="6" t="str">
        <f>IFERROR(VLOOKUP($A513,tWA[],5,FALSE),"--")</f>
        <v>--</v>
      </c>
      <c r="F513" s="6" t="str">
        <f>IFERROR(VLOOKUP($A513,tWA[],6,FALSE),"--")</f>
        <v>--</v>
      </c>
      <c r="G513" s="18" t="s">
        <v>2217</v>
      </c>
      <c r="H513" s="18">
        <f t="shared" si="21"/>
        <v>3611.9209999999998</v>
      </c>
      <c r="I513" s="18" t="str">
        <f t="shared" si="22"/>
        <v>3611.921,  398.98</v>
      </c>
      <c r="J513" s="6" t="s">
        <v>1218</v>
      </c>
      <c r="K513" s="6" t="s">
        <v>1081</v>
      </c>
      <c r="L513" s="6" t="s">
        <v>48</v>
      </c>
      <c r="M513" s="11" t="s">
        <v>1226</v>
      </c>
      <c r="N513" s="7" t="str">
        <f t="shared" si="23"/>
        <v>{"name": "Vekkio's Foundry", "map": "Haven", "fCoords": "391, 3644", "waCoords": "--, --", "leaflet": "3611.921,  398.98", "pinType": "Shopping", "mapRef": "Map Ref.: A11 (KP)", "type": "Foundry", "description": ""},</v>
      </c>
    </row>
    <row r="514" spans="1:14" ht="30" x14ac:dyDescent="0.25">
      <c r="A514" s="7" t="s">
        <v>1082</v>
      </c>
      <c r="B514" s="7" t="s">
        <v>1187</v>
      </c>
      <c r="C514" s="6">
        <v>4492</v>
      </c>
      <c r="D514" s="6">
        <v>4514</v>
      </c>
      <c r="E514" s="6" t="str">
        <f>IFERROR(VLOOKUP($A514,tWA[],5,FALSE),"--")</f>
        <v>--</v>
      </c>
      <c r="F514" s="6" t="str">
        <f>IFERROR(VLOOKUP($A514,tWA[],6,FALSE),"--")</f>
        <v>--</v>
      </c>
      <c r="G514" s="18" t="s">
        <v>2218</v>
      </c>
      <c r="H514" s="18">
        <f t="shared" si="21"/>
        <v>2724.1659999999997</v>
      </c>
      <c r="I514" s="18" t="str">
        <f t="shared" si="22"/>
        <v>2724.166,  4583.673</v>
      </c>
      <c r="J514" s="6" t="s">
        <v>1677</v>
      </c>
      <c r="K514" s="6" t="s">
        <v>1083</v>
      </c>
      <c r="L514" s="6" t="s">
        <v>201</v>
      </c>
      <c r="M514" s="11" t="s">
        <v>1226</v>
      </c>
      <c r="N514" s="7" t="str">
        <f t="shared" si="23"/>
        <v>{"name": "Verdintro Brickyard", "map": "Haven", "fCoords": "4492, 4514", "waCoords": "--, --", "leaflet": "2724.166,  4583.673", "pinType": "Service", "mapRef": "Map Ref.: O08 (EH)", "type": "Construction", "description": ""},</v>
      </c>
    </row>
    <row r="515" spans="1:14" ht="30" x14ac:dyDescent="0.25">
      <c r="A515" s="7" t="s">
        <v>1084</v>
      </c>
      <c r="B515" s="7" t="s">
        <v>1187</v>
      </c>
      <c r="C515" s="6">
        <v>5983</v>
      </c>
      <c r="D515" s="6">
        <v>5231</v>
      </c>
      <c r="E515" s="6" t="str">
        <f>IFERROR(VLOOKUP($A515,tWA[],5,FALSE),"--")</f>
        <v>--</v>
      </c>
      <c r="F515" s="6" t="str">
        <f>IFERROR(VLOOKUP($A515,tWA[],6,FALSE),"--")</f>
        <v>--</v>
      </c>
      <c r="G515" s="18" t="s">
        <v>2219</v>
      </c>
      <c r="H515" s="18">
        <f t="shared" si="21"/>
        <v>1992.5339999999999</v>
      </c>
      <c r="I515" s="18" t="str">
        <f t="shared" si="22"/>
        <v>1992.534,  6105.102</v>
      </c>
      <c r="J515" s="6" t="s">
        <v>1677</v>
      </c>
      <c r="K515" s="6" t="s">
        <v>1085</v>
      </c>
      <c r="L515" s="6" t="s">
        <v>45</v>
      </c>
      <c r="M515" s="11" t="s">
        <v>1226</v>
      </c>
      <c r="N515" s="7" t="str">
        <f t="shared" si="23"/>
        <v>{"name": "Voelkher's Sea Transport", "map": "Haven", "fCoords": "5983, 5231", "waCoords": "--, --", "leaflet": "1992.534,  6105.102", "pinType": "Service", "mapRef": "Map Ref.: T06 (AV)", "type": "Warehouse", "description": ""},</v>
      </c>
    </row>
    <row r="516" spans="1:14" ht="45" x14ac:dyDescent="0.25">
      <c r="A516" s="7" t="s">
        <v>1086</v>
      </c>
      <c r="B516" s="7" t="s">
        <v>1187</v>
      </c>
      <c r="C516" s="6">
        <v>3434</v>
      </c>
      <c r="D516" s="6">
        <v>4174</v>
      </c>
      <c r="E516" s="6" t="str">
        <f>IFERROR(VLOOKUP($A516,tWA[],5,FALSE),"--")</f>
        <v>3421</v>
      </c>
      <c r="F516" s="6" t="str">
        <f>IFERROR(VLOOKUP($A516,tWA[],6,FALSE),"--")</f>
        <v>3007</v>
      </c>
      <c r="G516" s="18" t="s">
        <v>2220</v>
      </c>
      <c r="H516" s="18">
        <f t="shared" ref="H516:H530" si="24">VALUE(_xlfn.TEXTBEFORE(G516,","))- 16.65</f>
        <v>3071.105</v>
      </c>
      <c r="I516" s="18" t="str">
        <f t="shared" ref="I516:I530" si="25">TEXT(H516, "####.###") &amp; ", " &amp; _xlfn.TEXTAFTER(G516,",")</f>
        <v>3071.105,  3504.082</v>
      </c>
      <c r="J516" s="6" t="s">
        <v>1204</v>
      </c>
      <c r="K516" s="6" t="s">
        <v>1087</v>
      </c>
      <c r="L516" s="6" t="s">
        <v>16</v>
      </c>
      <c r="M516" s="11" t="s">
        <v>1363</v>
      </c>
      <c r="N516" s="7" t="str">
        <f t="shared" ref="N516:N530" si="26">"{""name"": """&amp;A516&amp;""", " &amp;
"""map"": """&amp;B516&amp;""", " &amp;
"""fCoords"": """&amp;C516&amp;", "&amp;D516&amp;""", " &amp;
"""waCoords"": """&amp;E516&amp;", "&amp;F516&amp;""", " &amp;
"""leaflet"": """ &amp; I516 &amp; """, " &amp;
"""pinType"": """ &amp; J516 &amp; """, " &amp;
"""mapRef"": """ &amp; K516 &amp; """, " &amp;
"""type"": """ &amp; L516 &amp; """, " &amp;
"""description"": """ &amp; M516 &amp; """},"</f>
        <v>{"name": "Wagoneer's Delight", "map": "Haven", "fCoords": "3434, 4174", "waCoords": "3421, 3007", "leaflet": "3071.105,  3504.082", "pinType": "Inns &amp; Taverns", "mapRef": "Map Ref.: K10 (LW)", "type": "Inn", "description": "One of the more well known inns/taverns in haven"},</v>
      </c>
    </row>
    <row r="517" spans="1:14" ht="30" x14ac:dyDescent="0.25">
      <c r="A517" s="7" t="s">
        <v>1088</v>
      </c>
      <c r="B517" s="7" t="s">
        <v>1187</v>
      </c>
      <c r="C517" s="6">
        <v>6278</v>
      </c>
      <c r="D517" s="6">
        <v>4979</v>
      </c>
      <c r="E517" s="6" t="str">
        <f>IFERROR(VLOOKUP($A517,tWA[],5,FALSE),"--")</f>
        <v>--</v>
      </c>
      <c r="F517" s="6" t="str">
        <f>IFERROR(VLOOKUP($A517,tWA[],6,FALSE),"--")</f>
        <v>--</v>
      </c>
      <c r="G517" s="18" t="s">
        <v>2221</v>
      </c>
      <c r="H517" s="18">
        <f t="shared" si="24"/>
        <v>2249.6770000000001</v>
      </c>
      <c r="I517" s="18" t="str">
        <f t="shared" si="25"/>
        <v>2249.677,  6406.122</v>
      </c>
      <c r="J517" s="6" t="s">
        <v>1218</v>
      </c>
      <c r="K517" s="6" t="s">
        <v>1089</v>
      </c>
      <c r="L517" s="6" t="s">
        <v>126</v>
      </c>
      <c r="M517" s="11" t="s">
        <v>1226</v>
      </c>
      <c r="N517" s="7" t="str">
        <f t="shared" si="26"/>
        <v>{"name": "Warehouse of Marcus Neeman", "map": "Haven", "fCoords": "6278, 4979", "waCoords": "--, --", "leaflet": "2249.677,  6406.122", "pinType": "Shopping", "mapRef": "Map Ref.: U07 (BJ)", "type": "Textiles", "description": ""},</v>
      </c>
    </row>
    <row r="518" spans="1:14" ht="45" x14ac:dyDescent="0.25">
      <c r="A518" s="7" t="s">
        <v>1090</v>
      </c>
      <c r="B518" s="7" t="s">
        <v>1187</v>
      </c>
      <c r="C518" s="6">
        <v>1594</v>
      </c>
      <c r="D518" s="6">
        <v>3006</v>
      </c>
      <c r="E518" s="6" t="str">
        <f>IFERROR(VLOOKUP($A518,tWA[],5,FALSE),"--")</f>
        <v>1594</v>
      </c>
      <c r="F518" s="6" t="str">
        <f>IFERROR(VLOOKUP($A518,tWA[],6,FALSE),"--")</f>
        <v>4175</v>
      </c>
      <c r="G518" s="18" t="s">
        <v>2222</v>
      </c>
      <c r="H518" s="18">
        <f t="shared" si="24"/>
        <v>4262.942</v>
      </c>
      <c r="I518" s="18" t="str">
        <f t="shared" si="25"/>
        <v>4262.942,  1626.531</v>
      </c>
      <c r="J518" s="6" t="s">
        <v>1204</v>
      </c>
      <c r="K518" s="6" t="s">
        <v>1091</v>
      </c>
      <c r="L518" s="6" t="s">
        <v>68</v>
      </c>
      <c r="M518" s="11" t="s">
        <v>1363</v>
      </c>
      <c r="N518" s="7" t="str">
        <f t="shared" si="26"/>
        <v>{"name": "Wayfarers Rest", "map": "Haven", "fCoords": "1594, 3006", "waCoords": "1594, 4175", "leaflet": "4262.942,  1626.531", "pinType": "Inns &amp; Taverns", "mapRef": "Map Ref.: E13 (IO)", "type": "Tavern", "description": "One of the more well known inns/taverns in haven"},</v>
      </c>
    </row>
    <row r="519" spans="1:14" ht="30" x14ac:dyDescent="0.25">
      <c r="A519" s="7" t="s">
        <v>1092</v>
      </c>
      <c r="B519" s="7" t="s">
        <v>1187</v>
      </c>
      <c r="C519" s="6">
        <v>2761</v>
      </c>
      <c r="D519" s="6">
        <v>4236</v>
      </c>
      <c r="E519" s="6" t="str">
        <f>IFERROR(VLOOKUP($A519,tWA[],5,FALSE),"--")</f>
        <v>--</v>
      </c>
      <c r="F519" s="6" t="str">
        <f>IFERROR(VLOOKUP($A519,tWA[],6,FALSE),"--")</f>
        <v>--</v>
      </c>
      <c r="G519" s="18" t="s">
        <v>2223</v>
      </c>
      <c r="H519" s="18">
        <f t="shared" si="24"/>
        <v>3007.8399999999997</v>
      </c>
      <c r="I519" s="18" t="str">
        <f t="shared" si="25"/>
        <v>3007.84,  2817.347</v>
      </c>
      <c r="J519" s="6" t="s">
        <v>1218</v>
      </c>
      <c r="K519" s="6" t="s">
        <v>1093</v>
      </c>
      <c r="L519" s="6" t="s">
        <v>126</v>
      </c>
      <c r="M519" s="11" t="s">
        <v>1226</v>
      </c>
      <c r="N519" s="7" t="str">
        <f t="shared" si="26"/>
        <v>{"name": "Weavers' Plus", "map": "Haven", "fCoords": "2761, 4236", "waCoords": "--, --", "leaflet": "3007.84,  2817.347", "pinType": "Shopping", "mapRef": "Map Ref.: I09 (NW)", "type": "Textiles", "description": ""},</v>
      </c>
    </row>
    <row r="520" spans="1:14" ht="30" x14ac:dyDescent="0.25">
      <c r="A520" s="7" t="s">
        <v>1094</v>
      </c>
      <c r="B520" s="7" t="s">
        <v>1187</v>
      </c>
      <c r="C520" s="6">
        <v>959</v>
      </c>
      <c r="D520" s="6">
        <v>3616</v>
      </c>
      <c r="E520" s="6" t="str">
        <f>IFERROR(VLOOKUP($A520,tWA[],5,FALSE),"--")</f>
        <v>--</v>
      </c>
      <c r="F520" s="6" t="str">
        <f>IFERROR(VLOOKUP($A520,tWA[],6,FALSE),"--")</f>
        <v>--</v>
      </c>
      <c r="G520" s="18" t="s">
        <v>2224</v>
      </c>
      <c r="H520" s="18">
        <f t="shared" si="24"/>
        <v>3640.4929999999999</v>
      </c>
      <c r="I520" s="18" t="str">
        <f t="shared" si="25"/>
        <v>3640.493,  978.571</v>
      </c>
      <c r="J520" s="6" t="s">
        <v>1677</v>
      </c>
      <c r="K520" s="6" t="s">
        <v>1095</v>
      </c>
      <c r="L520" s="6" t="s">
        <v>475</v>
      </c>
      <c r="M520" s="11" t="s">
        <v>1226</v>
      </c>
      <c r="N520" s="7" t="str">
        <f t="shared" si="26"/>
        <v>{"name": "Wellington Thistlebottom - P.I.", "map": "Haven", "fCoords": "959, 3616", "waCoords": "--, --", "leaflet": "3640.493,  978.571", "pinType": "Service", "mapRef": "Map Ref.: C11 (LI)", "type": "Other Services", "description": ""},</v>
      </c>
    </row>
    <row r="521" spans="1:14" ht="30" x14ac:dyDescent="0.25">
      <c r="A521" s="7" t="s">
        <v>1096</v>
      </c>
      <c r="B521" s="7" t="s">
        <v>1187</v>
      </c>
      <c r="C521" s="6">
        <v>3977</v>
      </c>
      <c r="D521" s="6">
        <v>5227</v>
      </c>
      <c r="E521" s="6" t="str">
        <f>IFERROR(VLOOKUP($A521,tWA[],5,FALSE),"--")</f>
        <v>--</v>
      </c>
      <c r="F521" s="6" t="str">
        <f>IFERROR(VLOOKUP($A521,tWA[],6,FALSE),"--")</f>
        <v>--</v>
      </c>
      <c r="G521" s="18" t="s">
        <v>2225</v>
      </c>
      <c r="H521" s="18">
        <f t="shared" si="24"/>
        <v>1996.615</v>
      </c>
      <c r="I521" s="18" t="str">
        <f t="shared" si="25"/>
        <v>1996.615,  4058.163</v>
      </c>
      <c r="J521" s="6" t="s">
        <v>1199</v>
      </c>
      <c r="K521" s="6" t="s">
        <v>1097</v>
      </c>
      <c r="L521" s="6" t="s">
        <v>19</v>
      </c>
      <c r="M521" s="11" t="s">
        <v>1226</v>
      </c>
      <c r="N521" s="7" t="str">
        <f t="shared" si="26"/>
        <v>{"name": "Wenches' Walk", "map": "Haven", "fCoords": "3977, 5227", "waCoords": "--, --", "leaflet": "1996.615,  4058.163", "pinType": "Entertainment", "mapRef": "Map Ref.: M06 (DQ)", "type": "Brothel", "description": ""},</v>
      </c>
    </row>
    <row r="522" spans="1:14" ht="30" x14ac:dyDescent="0.25">
      <c r="A522" s="7" t="s">
        <v>1098</v>
      </c>
      <c r="B522" s="7" t="s">
        <v>1187</v>
      </c>
      <c r="C522" s="6">
        <v>5422</v>
      </c>
      <c r="D522" s="6">
        <v>1965</v>
      </c>
      <c r="E522" s="6" t="str">
        <f>IFERROR(VLOOKUP($A522,tWA[],5,FALSE),"--")</f>
        <v>--</v>
      </c>
      <c r="F522" s="6" t="str">
        <f>IFERROR(VLOOKUP($A522,tWA[],6,FALSE),"--")</f>
        <v>--</v>
      </c>
      <c r="G522" s="18" t="s">
        <v>2226</v>
      </c>
      <c r="H522" s="18">
        <f t="shared" si="24"/>
        <v>5325.1870000000008</v>
      </c>
      <c r="I522" s="18" t="str">
        <f t="shared" si="25"/>
        <v>5325.187,  5532.653</v>
      </c>
      <c r="J522" s="6" t="s">
        <v>1218</v>
      </c>
      <c r="K522" s="6" t="s">
        <v>1100</v>
      </c>
      <c r="L522" s="6" t="s">
        <v>1099</v>
      </c>
      <c r="M522" s="11" t="s">
        <v>1226</v>
      </c>
      <c r="N522" s="7" t="str">
        <f t="shared" si="26"/>
        <v>{"name": "Wicker and Withy", "map": "Haven", "fCoords": "5422, 1965", "waCoords": "--, --", "leaflet": "5325.187,  5532.653", "pinType": "Shopping", "mapRef": "Map Ref.: R17 (GQ)", "type": "Basket Maker", "description": ""},</v>
      </c>
    </row>
    <row r="523" spans="1:14" ht="30" x14ac:dyDescent="0.25">
      <c r="A523" s="7" t="s">
        <v>1101</v>
      </c>
      <c r="B523" s="7" t="s">
        <v>1187</v>
      </c>
      <c r="C523" s="6">
        <v>6371</v>
      </c>
      <c r="D523" s="6">
        <v>5428</v>
      </c>
      <c r="E523" s="6" t="str">
        <f>IFERROR(VLOOKUP($A523,tWA[],5,FALSE),"--")</f>
        <v>--</v>
      </c>
      <c r="F523" s="6" t="str">
        <f>IFERROR(VLOOKUP($A523,tWA[],6,FALSE),"--")</f>
        <v>--</v>
      </c>
      <c r="G523" s="18" t="s">
        <v>2227</v>
      </c>
      <c r="H523" s="18">
        <f t="shared" si="24"/>
        <v>1791.5129999999999</v>
      </c>
      <c r="I523" s="18" t="str">
        <f t="shared" si="25"/>
        <v>1791.513,  6501.02</v>
      </c>
      <c r="J523" s="6" t="s">
        <v>70</v>
      </c>
      <c r="K523" s="6" t="s">
        <v>1102</v>
      </c>
      <c r="L523" s="6" t="s">
        <v>117</v>
      </c>
      <c r="M523" s="11" t="s">
        <v>1226</v>
      </c>
      <c r="N523" s="7" t="str">
        <f t="shared" si="26"/>
        <v>{"name": "Widow Bupkes' Rooming House", "map": "Haven", "fCoords": "6371, 5428", "waCoords": "--, --", "leaflet": "1791.513,  6501.02", "pinType": "Residence", "mapRef": "Map Ref.: V05 (AL)", "type": "Rooming House", "description": ""},</v>
      </c>
    </row>
    <row r="524" spans="1:14" ht="30" x14ac:dyDescent="0.25">
      <c r="A524" s="7" t="s">
        <v>1103</v>
      </c>
      <c r="B524" s="7" t="s">
        <v>1187</v>
      </c>
      <c r="C524" s="6">
        <v>2334</v>
      </c>
      <c r="D524" s="6">
        <v>5012</v>
      </c>
      <c r="E524" s="6" t="str">
        <f>IFERROR(VLOOKUP($A524,tWA[],5,FALSE),"--")</f>
        <v>--</v>
      </c>
      <c r="F524" s="6" t="str">
        <f>IFERROR(VLOOKUP($A524,tWA[],6,FALSE),"--")</f>
        <v>--</v>
      </c>
      <c r="G524" s="18" t="s">
        <v>2228</v>
      </c>
      <c r="H524" s="18">
        <f t="shared" si="24"/>
        <v>2216.0029999999997</v>
      </c>
      <c r="I524" s="18" t="str">
        <f t="shared" si="25"/>
        <v>2216.003,  2381.633</v>
      </c>
      <c r="J524" s="6" t="s">
        <v>1218</v>
      </c>
      <c r="K524" s="6" t="s">
        <v>1104</v>
      </c>
      <c r="L524" s="6" t="s">
        <v>62</v>
      </c>
      <c r="M524" s="11" t="s">
        <v>1226</v>
      </c>
      <c r="N524" s="7" t="str">
        <f t="shared" si="26"/>
        <v>{"name": "Wig and Masque", "map": "Haven", "fCoords": "2334, 5012", "waCoords": "--, --", "leaflet": "2216.003,  2381.633", "pinType": "Shopping", "mapRef": "Map Ref.: H07 (MD)", "type": "General Clothing", "description": ""},</v>
      </c>
    </row>
    <row r="525" spans="1:14" ht="30" x14ac:dyDescent="0.25">
      <c r="A525" s="7" t="s">
        <v>1105</v>
      </c>
      <c r="B525" s="7" t="s">
        <v>1187</v>
      </c>
      <c r="C525" s="6">
        <v>700</v>
      </c>
      <c r="D525" s="6">
        <v>3611</v>
      </c>
      <c r="E525" s="6" t="str">
        <f>IFERROR(VLOOKUP($A525,tWA[],5,FALSE),"--")</f>
        <v>--</v>
      </c>
      <c r="F525" s="6" t="str">
        <f>IFERROR(VLOOKUP($A525,tWA[],6,FALSE),"--")</f>
        <v>--</v>
      </c>
      <c r="G525" s="18" t="s">
        <v>2229</v>
      </c>
      <c r="H525" s="18">
        <f t="shared" si="24"/>
        <v>3645.5949999999998</v>
      </c>
      <c r="I525" s="18" t="str">
        <f t="shared" si="25"/>
        <v>3645.595,  714.286</v>
      </c>
      <c r="J525" s="6" t="s">
        <v>1677</v>
      </c>
      <c r="K525" s="6" t="s">
        <v>1106</v>
      </c>
      <c r="L525" s="6" t="s">
        <v>81</v>
      </c>
      <c r="M525" s="11" t="s">
        <v>1226</v>
      </c>
      <c r="N525" s="7" t="str">
        <f t="shared" si="26"/>
        <v>{"name": "Windrider Courier Service", "map": "Haven", "fCoords": "700, 3611", "waCoords": "--, --", "leaflet": "3645.595,  714.286", "pinType": "Service", "mapRef": "Map Ref.: B11 (KS)", "type": "Courier", "description": ""},</v>
      </c>
    </row>
    <row r="526" spans="1:14" ht="45" x14ac:dyDescent="0.25">
      <c r="A526" s="7" t="s">
        <v>1107</v>
      </c>
      <c r="B526" s="7" t="s">
        <v>1187</v>
      </c>
      <c r="C526" s="6">
        <v>2988</v>
      </c>
      <c r="D526" s="6">
        <v>2905</v>
      </c>
      <c r="E526" s="6" t="str">
        <f>IFERROR(VLOOKUP($A526,tWA[],5,FALSE),"--")</f>
        <v>2994</v>
      </c>
      <c r="F526" s="6" t="str">
        <f>IFERROR(VLOOKUP($A526,tWA[],6,FALSE),"--")</f>
        <v>4276</v>
      </c>
      <c r="G526" s="18" t="s">
        <v>2230</v>
      </c>
      <c r="H526" s="18">
        <f t="shared" si="24"/>
        <v>4366.0030000000006</v>
      </c>
      <c r="I526" s="18" t="str">
        <f t="shared" si="25"/>
        <v>4366.003,  3048.98</v>
      </c>
      <c r="J526" s="6" t="s">
        <v>1678</v>
      </c>
      <c r="K526" s="6" t="s">
        <v>1108</v>
      </c>
      <c r="L526" s="6" t="s">
        <v>238</v>
      </c>
      <c r="M526" s="11" t="s">
        <v>1381</v>
      </c>
      <c r="N526" s="7" t="str">
        <f t="shared" si="26"/>
        <v>{"name": "Wizard's Isle", "map": "Haven", "fCoords": "2988, 2905", "waCoords": "2994, 4276", "leaflet": "4366.003,  3048.98", "pinType": "Landmark", "mapRef": "Map Ref.: J14 (TD)", "type": "Other Landmark", "description": "Off the north end of Trade Island, this was once used by smugglers moving good upreiver."},</v>
      </c>
    </row>
    <row r="527" spans="1:14" ht="30" x14ac:dyDescent="0.25">
      <c r="A527" s="7" t="s">
        <v>1109</v>
      </c>
      <c r="B527" s="7" t="s">
        <v>1187</v>
      </c>
      <c r="C527" s="6">
        <v>2412</v>
      </c>
      <c r="D527" s="6">
        <v>4380</v>
      </c>
      <c r="E527" s="6" t="str">
        <f>IFERROR(VLOOKUP($A527,tWA[],5,FALSE),"--")</f>
        <v>--</v>
      </c>
      <c r="F527" s="6" t="str">
        <f>IFERROR(VLOOKUP($A527,tWA[],6,FALSE),"--")</f>
        <v>--</v>
      </c>
      <c r="G527" s="18" t="s">
        <v>2231</v>
      </c>
      <c r="H527" s="18">
        <f t="shared" si="24"/>
        <v>2860.9009999999998</v>
      </c>
      <c r="I527" s="18" t="str">
        <f t="shared" si="25"/>
        <v>2860.901,  2461.224</v>
      </c>
      <c r="J527" s="6" t="s">
        <v>1204</v>
      </c>
      <c r="K527" s="6" t="s">
        <v>1110</v>
      </c>
      <c r="L527" s="6" t="s">
        <v>68</v>
      </c>
      <c r="M527" s="11" t="s">
        <v>1226</v>
      </c>
      <c r="N527" s="7" t="str">
        <f t="shared" si="26"/>
        <v>{"name": "Wizard's Watering Hole", "map": "Haven", "fCoords": "2412, 4380", "waCoords": "--, --", "leaflet": "2860.901,  2461.224", "pinType": "Inns &amp; Taverns", "mapRef": "Map Ref.: H09 (NX)", "type": "Tavern", "description": ""},</v>
      </c>
    </row>
    <row r="528" spans="1:14" ht="30" x14ac:dyDescent="0.25">
      <c r="A528" s="7" t="s">
        <v>1111</v>
      </c>
      <c r="B528" s="7" t="s">
        <v>1187</v>
      </c>
      <c r="C528" s="6">
        <v>2108</v>
      </c>
      <c r="D528" s="6">
        <v>4130</v>
      </c>
      <c r="E528" s="6" t="str">
        <f>IFERROR(VLOOKUP($A528,tWA[],5,FALSE),"--")</f>
        <v>--</v>
      </c>
      <c r="F528" s="6" t="str">
        <f>IFERROR(VLOOKUP($A528,tWA[],6,FALSE),"--")</f>
        <v>--</v>
      </c>
      <c r="G528" s="18" t="s">
        <v>2232</v>
      </c>
      <c r="H528" s="18">
        <f t="shared" si="24"/>
        <v>3116.0029999999997</v>
      </c>
      <c r="I528" s="18" t="str">
        <f t="shared" si="25"/>
        <v>3116.003,  2151.02</v>
      </c>
      <c r="J528" s="6" t="s">
        <v>1218</v>
      </c>
      <c r="K528" s="6" t="s">
        <v>1112</v>
      </c>
      <c r="L528" s="6" t="s">
        <v>105</v>
      </c>
      <c r="M528" s="11" t="s">
        <v>1226</v>
      </c>
      <c r="N528" s="7" t="str">
        <f t="shared" si="26"/>
        <v>{"name": "Ye Apothecary Shoppe", "map": "Haven", "fCoords": "2108, 4130", "waCoords": "--, --", "leaflet": "3116.003,  2151.02", "pinType": "Shopping", "mapRef": "Map Ref.: G10 (NC)", "type": "Apothecary", "description": ""},</v>
      </c>
    </row>
    <row r="529" spans="1:14" ht="30" x14ac:dyDescent="0.25">
      <c r="A529" s="7" t="s">
        <v>1113</v>
      </c>
      <c r="B529" s="7" t="s">
        <v>1187</v>
      </c>
      <c r="C529" s="6">
        <v>3946</v>
      </c>
      <c r="D529" s="6">
        <v>6051</v>
      </c>
      <c r="E529" s="6" t="str">
        <f>IFERROR(VLOOKUP($A529,tWA[],5,FALSE),"--")</f>
        <v>--</v>
      </c>
      <c r="F529" s="6" t="str">
        <f>IFERROR(VLOOKUP($A529,tWA[],6,FALSE),"--")</f>
        <v>--</v>
      </c>
      <c r="G529" s="18" t="s">
        <v>2233</v>
      </c>
      <c r="H529" s="18">
        <f t="shared" si="24"/>
        <v>1155.799</v>
      </c>
      <c r="I529" s="18" t="str">
        <f t="shared" si="25"/>
        <v>1155.799,  4026.531</v>
      </c>
      <c r="J529" s="6" t="s">
        <v>1218</v>
      </c>
      <c r="K529" s="6" t="s">
        <v>1114</v>
      </c>
      <c r="L529" s="6" t="s">
        <v>208</v>
      </c>
      <c r="M529" s="11" t="s">
        <v>1226</v>
      </c>
      <c r="N529" s="7" t="str">
        <f t="shared" si="26"/>
        <v>{"name": "Zafforo the Lender", "map": "Haven", "fCoords": "3946, 6051", "waCoords": "--, --", "leaflet": "1155.799,  4026.531", "pinType": "Shopping", "mapRef": "Map Ref.: M03 (FL)", "type": "Pawnbroker", "description": ""},</v>
      </c>
    </row>
    <row r="530" spans="1:14" ht="30" x14ac:dyDescent="0.25">
      <c r="A530" s="7" t="s">
        <v>1115</v>
      </c>
      <c r="B530" s="7" t="s">
        <v>1187</v>
      </c>
      <c r="C530" s="6">
        <v>704</v>
      </c>
      <c r="D530" s="6">
        <v>3147</v>
      </c>
      <c r="E530" s="6" t="str">
        <f>IFERROR(VLOOKUP($A530,tWA[],5,FALSE),"--")</f>
        <v>--</v>
      </c>
      <c r="F530" s="6" t="str">
        <f>IFERROR(VLOOKUP($A530,tWA[],6,FALSE),"--")</f>
        <v>--</v>
      </c>
      <c r="G530" s="18" t="s">
        <v>2234</v>
      </c>
      <c r="H530" s="18">
        <f t="shared" si="24"/>
        <v>4119.0640000000003</v>
      </c>
      <c r="I530" s="18" t="str">
        <f t="shared" si="25"/>
        <v>4119.064,  718.367</v>
      </c>
      <c r="J530" s="6" t="s">
        <v>1218</v>
      </c>
      <c r="K530" s="6" t="s">
        <v>1116</v>
      </c>
      <c r="L530" s="6" t="s">
        <v>297</v>
      </c>
      <c r="M530" s="11" t="s">
        <v>1226</v>
      </c>
      <c r="N530" s="7" t="str">
        <f t="shared" si="26"/>
        <v>{"name": "Zaubel - Jeweler", "map": "Haven", "fCoords": "704, 3147", "waCoords": "--, --", "leaflet": "4119.064,  718.367", "pinType": "Shopping", "mapRef": "Map Ref.: B13 (KE)", "type": "Jeweler", "description": ""},</v>
      </c>
    </row>
    <row r="531" spans="1:14" ht="30" hidden="1" x14ac:dyDescent="0.25">
      <c r="A531" s="7" t="s">
        <v>1151</v>
      </c>
      <c r="B531" s="7" t="s">
        <v>1684</v>
      </c>
      <c r="C531" s="6">
        <v>750</v>
      </c>
      <c r="D531" s="6">
        <v>2150</v>
      </c>
      <c r="E531" s="6" t="str">
        <f>IFERROR(VLOOKUP($A531,tWA[],5,FALSE),"--")</f>
        <v>--</v>
      </c>
      <c r="F531" s="6" t="str">
        <f>IFERROR(VLOOKUP($A531,tWA[],6,FALSE),"--")</f>
        <v>--</v>
      </c>
      <c r="G531" s="18"/>
      <c r="H531" s="18"/>
      <c r="I531" s="18"/>
      <c r="J531" s="6" t="s">
        <v>1204</v>
      </c>
      <c r="K531" s="20" t="s">
        <v>1685</v>
      </c>
      <c r="L531" s="6" t="s">
        <v>16</v>
      </c>
      <c r="M531" s="11" t="s">
        <v>1226</v>
      </c>
      <c r="N531" s="7" t="str">
        <f t="shared" ref="N531:N556" si="27">"{""name"": """&amp;A531&amp;""", " &amp;
"""map"": """&amp;B531&amp;""", " &amp;
"""fCoords"": """&amp;C531&amp;", "&amp;D531&amp;""", " &amp;
"""waCoords"": """&amp;E531&amp;", "&amp;F531&amp;""", " &amp;
"""leaflet"": """ &amp; I531 &amp; """, " &amp;
"""pinType"": """ &amp; J531 &amp; """, " &amp;
"""mapRef"": """ &amp; K531 &amp; """, " &amp;
"""type"": """ &amp; L531 &amp; """, " &amp;
"""description"": """ &amp; M531 &amp; """},"</f>
        <v>{"name": "Golden Wheat Inn", "map": "Oakridge", "fCoords": "750, 2150", "waCoords": "--, --", "leaflet": "", "pinType": "Inns &amp; Taverns", "mapRef": "--", "type": "Inn", "description": ""},</v>
      </c>
    </row>
    <row r="532" spans="1:14" ht="30" hidden="1" x14ac:dyDescent="0.25">
      <c r="A532" s="7" t="s">
        <v>768</v>
      </c>
      <c r="B532" s="7" t="s">
        <v>1684</v>
      </c>
      <c r="C532" s="6">
        <v>900</v>
      </c>
      <c r="D532" s="6">
        <v>1050</v>
      </c>
      <c r="E532" s="6" t="str">
        <f>IFERROR(VLOOKUP($A532,tWA[],5,FALSE),"--")</f>
        <v>4735</v>
      </c>
      <c r="F532" s="6" t="str">
        <f>IFERROR(VLOOKUP($A532,tWA[],6,FALSE),"--")</f>
        <v>3974</v>
      </c>
      <c r="G532" s="18"/>
      <c r="H532" s="18"/>
      <c r="I532" s="18"/>
      <c r="J532" s="6" t="s">
        <v>1679</v>
      </c>
      <c r="K532" s="20" t="s">
        <v>1685</v>
      </c>
      <c r="L532" s="20" t="s">
        <v>769</v>
      </c>
      <c r="M532" s="11" t="s">
        <v>1383</v>
      </c>
      <c r="N532" s="7" t="str">
        <f t="shared" si="27"/>
        <v>{"name": "Temple of Ariel", "map": "Oakridge", "fCoords": "900, 1050", "waCoords": "4735, 3974", "leaflet": "", "pinType": "Religion", "mapRef": "--", "type": "Temple", "description": "Ariel: Goddess of Love and Beauty, Patron of the Arts"},</v>
      </c>
    </row>
    <row r="533" spans="1:14" ht="30" hidden="1" x14ac:dyDescent="0.25">
      <c r="A533" s="7" t="s">
        <v>1136</v>
      </c>
      <c r="B533" s="7" t="s">
        <v>1211</v>
      </c>
      <c r="C533" s="6" t="s">
        <v>1642</v>
      </c>
      <c r="D533" s="6">
        <v>620</v>
      </c>
      <c r="E533" s="6" t="str">
        <f>IFERROR(VLOOKUP($A533,tWA[],5,FALSE),"--")</f>
        <v>394</v>
      </c>
      <c r="F533" s="6" t="str">
        <f>IFERROR(VLOOKUP($A533,tWA[],6,FALSE),"--")</f>
        <v>1169</v>
      </c>
      <c r="G533" s="18"/>
      <c r="H533" s="18"/>
      <c r="I533" s="18"/>
      <c r="J533" s="6" t="s">
        <v>1677</v>
      </c>
      <c r="K533" s="6">
        <v>10</v>
      </c>
      <c r="L533" s="6" t="s">
        <v>241</v>
      </c>
      <c r="N533" s="7" t="str">
        <f t="shared" si="27"/>
        <v>{"name": "Anathea the Seeress - Fortune Telling Service", "map": "Thieves Market", "fCoords": "394, 620", "waCoords": "394, 1169", "leaflet": "", "pinType": "Service", "mapRef": "10", "type": "Magic", "description": ""},</v>
      </c>
    </row>
    <row r="534" spans="1:14" ht="30" hidden="1" x14ac:dyDescent="0.25">
      <c r="A534" s="7" t="s">
        <v>1137</v>
      </c>
      <c r="B534" s="7" t="s">
        <v>1211</v>
      </c>
      <c r="C534" s="6" t="s">
        <v>1650</v>
      </c>
      <c r="D534" s="6">
        <v>1205</v>
      </c>
      <c r="E534" s="6" t="str">
        <f>IFERROR(VLOOKUP($A534,tWA[],5,FALSE),"--")</f>
        <v>468</v>
      </c>
      <c r="F534" s="6" t="str">
        <f>IFERROR(VLOOKUP($A534,tWA[],6,FALSE),"--")</f>
        <v>584</v>
      </c>
      <c r="G534" s="18"/>
      <c r="H534" s="18"/>
      <c r="I534" s="18"/>
      <c r="J534" s="6" t="s">
        <v>1218</v>
      </c>
      <c r="K534" s="6">
        <v>13</v>
      </c>
      <c r="L534" s="6" t="s">
        <v>1690</v>
      </c>
      <c r="N534" s="7" t="str">
        <f t="shared" si="27"/>
        <v>{"name": "Angus MacFarlane - Spices and Medicinals", "map": "Thieves Market", "fCoords": "468, 1205", "waCoords": "468, 584", "leaflet": "", "pinType": "Shopping", "mapRef": "13", "type": "Spices, Medical", "description": ""},</v>
      </c>
    </row>
    <row r="535" spans="1:14" ht="60" hidden="1" x14ac:dyDescent="0.25">
      <c r="A535" s="7" t="s">
        <v>1138</v>
      </c>
      <c r="B535" s="7" t="s">
        <v>1211</v>
      </c>
      <c r="C535" s="6">
        <v>500</v>
      </c>
      <c r="D535" s="6">
        <v>752</v>
      </c>
      <c r="E535" s="6" t="str">
        <f>IFERROR(VLOOKUP($A535,tWA[],5,FALSE),"--")</f>
        <v>506</v>
      </c>
      <c r="F535" s="6" t="str">
        <f>IFERROR(VLOOKUP($A535,tWA[],6,FALSE),"--")</f>
        <v>1040</v>
      </c>
      <c r="G535" s="18"/>
      <c r="H535" s="18"/>
      <c r="I535" s="18"/>
      <c r="J535" s="6" t="s">
        <v>1218</v>
      </c>
      <c r="K535" s="6">
        <v>2</v>
      </c>
      <c r="L535" s="6" t="s">
        <v>234</v>
      </c>
      <c r="M535" s="11" t="s">
        <v>1219</v>
      </c>
      <c r="N535" s="7" t="str">
        <f t="shared" si="27"/>
        <v>{"name": "Ballard Lindsey - Produce", "map": "Thieves Market", "fCoords": "500, 752", "waCoords": "506, 1040", "leaflet": "", "pinType": "Shopping", "mapRef": "2", "type": "Greengrocer", "description": "This greengrocer brings fresh produce and fruits to the market each day during their particular growing seasons. He frequently has hard-to-obtain varieties of fruit from faraway countries"},</v>
      </c>
    </row>
    <row r="536" spans="1:14" ht="15" hidden="1" customHeight="1" x14ac:dyDescent="0.25">
      <c r="A536" s="7" t="s">
        <v>1139</v>
      </c>
      <c r="B536" s="7" t="s">
        <v>1211</v>
      </c>
      <c r="C536" s="6" t="s">
        <v>1671</v>
      </c>
      <c r="D536" s="6">
        <v>714</v>
      </c>
      <c r="E536" s="6" t="str">
        <f>IFERROR(VLOOKUP($A536,tWA[],5,FALSE),"--")</f>
        <v>178</v>
      </c>
      <c r="F536" s="6" t="str">
        <f>IFERROR(VLOOKUP($A536,tWA[],6,FALSE),"--")</f>
        <v>1077</v>
      </c>
      <c r="G536" s="18"/>
      <c r="H536" s="18"/>
      <c r="I536" s="18"/>
      <c r="J536" s="6" t="s">
        <v>1218</v>
      </c>
      <c r="K536" s="6">
        <v>14</v>
      </c>
      <c r="L536" s="6" t="s">
        <v>126</v>
      </c>
      <c r="N536" s="7" t="str">
        <f t="shared" si="27"/>
        <v>{"name": "Barbara Weyr - Rugs and Carpets", "map": "Thieves Market", "fCoords": "178, 714", "waCoords": "178, 1077", "leaflet": "", "pinType": "Shopping", "mapRef": "14", "type": "Textiles", "description": ""},</v>
      </c>
    </row>
    <row r="537" spans="1:14" ht="15" hidden="1" customHeight="1" x14ac:dyDescent="0.25">
      <c r="A537" s="7" t="s">
        <v>1220</v>
      </c>
      <c r="B537" s="7" t="s">
        <v>1211</v>
      </c>
      <c r="C537" s="6" t="s">
        <v>1654</v>
      </c>
      <c r="D537" s="6">
        <v>790</v>
      </c>
      <c r="E537" s="6" t="str">
        <f>IFERROR(VLOOKUP($A537,tWA[],5,FALSE),"--")</f>
        <v>189</v>
      </c>
      <c r="F537" s="6" t="str">
        <f>IFERROR(VLOOKUP($A537,tWA[],6,FALSE),"--")</f>
        <v>1008</v>
      </c>
      <c r="G537" s="18"/>
      <c r="H537" s="18"/>
      <c r="I537" s="18"/>
      <c r="J537" s="6" t="s">
        <v>1218</v>
      </c>
      <c r="K537" s="6">
        <v>5</v>
      </c>
      <c r="L537" s="6" t="s">
        <v>54</v>
      </c>
      <c r="N537" s="7" t="str">
        <f t="shared" si="27"/>
        <v>{"name": "Beydom &amp; Son General Goods", "map": "Thieves Market", "fCoords": "189, 790", "waCoords": "189, 1008", "leaflet": "", "pinType": "Shopping", "mapRef": "5", "type": "General Goods", "description": ""},</v>
      </c>
    </row>
    <row r="538" spans="1:14" ht="60" hidden="1" x14ac:dyDescent="0.25">
      <c r="A538" s="7" t="s">
        <v>1140</v>
      </c>
      <c r="B538" s="7" t="s">
        <v>1211</v>
      </c>
      <c r="C538" s="6" t="s">
        <v>1658</v>
      </c>
      <c r="D538" s="6">
        <v>1265</v>
      </c>
      <c r="E538" s="6" t="str">
        <f>IFERROR(VLOOKUP($A538,tWA[],5,FALSE),"--")</f>
        <v>146</v>
      </c>
      <c r="F538" s="6" t="str">
        <f>IFERROR(VLOOKUP($A538,tWA[],6,FALSE),"--")</f>
        <v>514</v>
      </c>
      <c r="G538" s="18"/>
      <c r="H538" s="18"/>
      <c r="I538" s="18"/>
      <c r="J538" s="6" t="s">
        <v>1218</v>
      </c>
      <c r="K538" s="6">
        <v>7</v>
      </c>
      <c r="L538" s="6" t="s">
        <v>92</v>
      </c>
      <c r="M538" s="11" t="s">
        <v>1221</v>
      </c>
      <c r="N538" s="7" t="str">
        <f t="shared" si="27"/>
        <v>{"name": "Biff Tekk - Butcher", "map": "Thieves Market", "fCoords": "146, 1265", "waCoords": "146, 514", "leaflet": "", "pinType": "Shopping", "mapRef": "7", "type": "Butcher", "description": "One can usually get meats ranging from mutton to pork to beef from this butcher wagon. Fancy meats like veal or lamb are available only occasionally"},</v>
      </c>
    </row>
    <row r="539" spans="1:14" ht="15" hidden="1" customHeight="1" x14ac:dyDescent="0.25">
      <c r="A539" s="7" t="s">
        <v>94</v>
      </c>
      <c r="B539" s="7" t="s">
        <v>1211</v>
      </c>
      <c r="C539" s="6">
        <v>977</v>
      </c>
      <c r="D539" s="6">
        <v>860</v>
      </c>
      <c r="E539" s="6" t="str">
        <f>IFERROR(VLOOKUP($A539,tWA[],5,FALSE),"--")</f>
        <v>1022</v>
      </c>
      <c r="F539" s="6" t="str">
        <f>IFERROR(VLOOKUP($A539,tWA[],6,FALSE),"--")</f>
        <v>1037</v>
      </c>
      <c r="G539" s="18"/>
      <c r="H539" s="18"/>
      <c r="I539" s="18"/>
      <c r="J539" s="6" t="s">
        <v>1218</v>
      </c>
      <c r="K539" s="6">
        <v>19</v>
      </c>
      <c r="L539" s="6" t="s">
        <v>95</v>
      </c>
      <c r="N539" s="7" t="str">
        <f t="shared" si="27"/>
        <v>{"name": "Brodsky's", "map": "Thieves Market", "fCoords": "977, 860", "waCoords": "1022, 1037", "leaflet": "", "pinType": "Shopping", "mapRef": "19", "type": "Dairy", "description": ""},</v>
      </c>
    </row>
    <row r="540" spans="1:14" ht="60" hidden="1" x14ac:dyDescent="0.25">
      <c r="A540" s="7" t="s">
        <v>1145</v>
      </c>
      <c r="B540" s="7" t="s">
        <v>1211</v>
      </c>
      <c r="C540" s="6" t="s">
        <v>1662</v>
      </c>
      <c r="D540" s="6">
        <v>1100</v>
      </c>
      <c r="E540" s="6" t="str">
        <f>IFERROR(VLOOKUP($A540,tWA[],5,FALSE),"--")</f>
        <v>381</v>
      </c>
      <c r="F540" s="6" t="str">
        <f>IFERROR(VLOOKUP($A540,tWA[],6,FALSE),"--")</f>
        <v>692</v>
      </c>
      <c r="G540" s="18"/>
      <c r="H540" s="18"/>
      <c r="I540" s="18"/>
      <c r="J540" s="6" t="s">
        <v>1218</v>
      </c>
      <c r="K540" s="6">
        <v>6</v>
      </c>
      <c r="L540" s="6" t="s">
        <v>140</v>
      </c>
      <c r="M540" s="11" t="s">
        <v>1222</v>
      </c>
      <c r="N540" s="7" t="str">
        <f t="shared" si="27"/>
        <v>{"name": "Daran Tiko - Furniture", "map": "Thieves Market", "fCoords": "381, 1100", "waCoords": "381, 692", "leaflet": "", "pinType": "Shopping", "mapRef": "6", "type": "Carpenter", "description": "Tiko carries a respectable collection of second hand furniture. A fair portion of his stock is rejects made by the apprentices at Dortmund's and a couple of other furniture houses"},</v>
      </c>
    </row>
    <row r="541" spans="1:14" ht="15" hidden="1" customHeight="1" x14ac:dyDescent="0.25">
      <c r="A541" s="7" t="s">
        <v>1212</v>
      </c>
      <c r="B541" s="7" t="s">
        <v>1211</v>
      </c>
      <c r="C541" s="6" t="s">
        <v>1626</v>
      </c>
      <c r="D541" s="6">
        <v>1520</v>
      </c>
      <c r="E541" s="6" t="str">
        <f>IFERROR(VLOOKUP($A541,tWA[],5,FALSE),"--")</f>
        <v>470</v>
      </c>
      <c r="F541" s="6" t="str">
        <f>IFERROR(VLOOKUP($A541,tWA[],6,FALSE),"--")</f>
        <v>261</v>
      </c>
      <c r="G541" s="18"/>
      <c r="H541" s="18"/>
      <c r="I541" s="18"/>
      <c r="J541" s="6" t="s">
        <v>1199</v>
      </c>
      <c r="K541" s="6">
        <v>8</v>
      </c>
      <c r="L541" s="6" t="s">
        <v>1691</v>
      </c>
      <c r="M541" s="11" t="s">
        <v>1213</v>
      </c>
      <c r="N541" s="7" t="str">
        <f t="shared" si="27"/>
        <v>{"name": "Dorki and his Dancing Girls", "map": "Thieves Market", "fCoords": "470, 1520", "waCoords": "470, 261", "leaflet": "", "pinType": "Entertainment", "mapRef": "8", "type": "Dancers", "description": "Just like it says."},</v>
      </c>
    </row>
    <row r="542" spans="1:14" ht="15" hidden="1" customHeight="1" x14ac:dyDescent="0.25">
      <c r="A542" s="7" t="s">
        <v>1150</v>
      </c>
      <c r="B542" s="7" t="s">
        <v>1211</v>
      </c>
      <c r="C542" s="6">
        <v>180</v>
      </c>
      <c r="D542" s="6">
        <v>925</v>
      </c>
      <c r="E542" s="6" t="str">
        <f>IFERROR(VLOOKUP($A542,tWA[],5,FALSE),"--")</f>
        <v>188</v>
      </c>
      <c r="F542" s="6" t="str">
        <f>IFERROR(VLOOKUP($A542,tWA[],6,FALSE),"--")</f>
        <v>862</v>
      </c>
      <c r="G542" s="18"/>
      <c r="H542" s="18"/>
      <c r="I542" s="18"/>
      <c r="J542" s="6" t="s">
        <v>1677</v>
      </c>
      <c r="K542" s="6">
        <v>3</v>
      </c>
      <c r="L542" s="6" t="s">
        <v>1002</v>
      </c>
      <c r="N542" s="7" t="str">
        <f t="shared" si="27"/>
        <v>{"name": "Fernando 'Fig' Garo - Barbering Service", "map": "Thieves Market", "fCoords": "180, 925", "waCoords": "188, 862", "leaflet": "", "pinType": "Service", "mapRef": "3", "type": "Barber", "description": ""},</v>
      </c>
    </row>
    <row r="543" spans="1:14" ht="15" hidden="1" customHeight="1" x14ac:dyDescent="0.25">
      <c r="A543" s="7" t="s">
        <v>266</v>
      </c>
      <c r="B543" s="7" t="s">
        <v>1211</v>
      </c>
      <c r="C543" s="6">
        <v>530</v>
      </c>
      <c r="D543" s="6">
        <v>995</v>
      </c>
      <c r="E543" s="6" t="str">
        <f>IFERROR(VLOOKUP($A543,tWA[],5,FALSE),"--")</f>
        <v>--</v>
      </c>
      <c r="F543" s="6" t="str">
        <f>IFERROR(VLOOKUP($A543,tWA[],6,FALSE),"--")</f>
        <v>--</v>
      </c>
      <c r="G543" s="18"/>
      <c r="H543" s="18"/>
      <c r="I543" s="18"/>
      <c r="J543" s="6" t="s">
        <v>1678</v>
      </c>
      <c r="K543" s="6">
        <v>11</v>
      </c>
      <c r="L543" s="6" t="s">
        <v>267</v>
      </c>
      <c r="M543" s="11" t="s">
        <v>1226</v>
      </c>
      <c r="N543" s="7" t="str">
        <f t="shared" si="27"/>
        <v>{"name": "Fountain of Porpidolphus", "map": "Thieves Market", "fCoords": "530, 995", "waCoords": "--, --", "leaflet": "", "pinType": "Landmark", "mapRef": "11", "type": "Fountain", "description": ""},</v>
      </c>
    </row>
    <row r="544" spans="1:14" ht="15" hidden="1" customHeight="1" x14ac:dyDescent="0.25">
      <c r="A544" s="7" t="s">
        <v>278</v>
      </c>
      <c r="B544" s="7" t="s">
        <v>1211</v>
      </c>
      <c r="C544" s="6">
        <v>25</v>
      </c>
      <c r="D544" s="6">
        <v>870</v>
      </c>
      <c r="E544" s="6" t="str">
        <f>IFERROR(VLOOKUP($A544,tWA[],5,FALSE),"--")</f>
        <v>44</v>
      </c>
      <c r="F544" s="6" t="str">
        <f>IFERROR(VLOOKUP($A544,tWA[],6,FALSE),"--")</f>
        <v>937</v>
      </c>
      <c r="G544" s="18"/>
      <c r="H544" s="18"/>
      <c r="I544" s="18"/>
      <c r="J544" s="6" t="s">
        <v>1218</v>
      </c>
      <c r="K544" s="6">
        <v>17</v>
      </c>
      <c r="L544" s="6" t="s">
        <v>208</v>
      </c>
      <c r="N544" s="7" t="str">
        <f t="shared" si="27"/>
        <v>{"name": "Frogal's", "map": "Thieves Market", "fCoords": "25, 870", "waCoords": "44, 937", "leaflet": "", "pinType": "Shopping", "mapRef": "17", "type": "Pawnbroker", "description": ""},</v>
      </c>
    </row>
    <row r="545" spans="1:14" ht="15" hidden="1" customHeight="1" x14ac:dyDescent="0.25">
      <c r="A545" s="7" t="s">
        <v>1674</v>
      </c>
      <c r="B545" s="7" t="s">
        <v>1211</v>
      </c>
      <c r="C545" s="6" t="s">
        <v>1624</v>
      </c>
      <c r="D545" s="6">
        <v>895</v>
      </c>
      <c r="E545" s="6" t="str">
        <f>IFERROR(VLOOKUP($A545,tWA[],5,FALSE),"--")</f>
        <v>532</v>
      </c>
      <c r="F545" s="6" t="str">
        <f>IFERROR(VLOOKUP($A545,tWA[],6,FALSE),"--")</f>
        <v>916</v>
      </c>
      <c r="G545" s="18"/>
      <c r="H545" s="18"/>
      <c r="I545" s="18"/>
      <c r="J545" s="6" t="s">
        <v>1197</v>
      </c>
      <c r="K545" s="6">
        <v>15</v>
      </c>
      <c r="L545" s="6" t="s">
        <v>442</v>
      </c>
      <c r="N545" s="7" t="str">
        <f t="shared" si="27"/>
        <v>{"name": "Laudie Daly's Cooked Food", "map": "Thieves Market", "fCoords": "532, 895", "waCoords": "532, 916", "leaflet": "", "pinType": "Dining", "mapRef": "15", "type": "Restaurant", "description": ""},</v>
      </c>
    </row>
    <row r="546" spans="1:14" ht="15" hidden="1" customHeight="1" x14ac:dyDescent="0.25">
      <c r="A546" s="7" t="s">
        <v>565</v>
      </c>
      <c r="B546" s="7" t="s">
        <v>1211</v>
      </c>
      <c r="C546" s="6">
        <v>977</v>
      </c>
      <c r="D546" s="6">
        <v>930</v>
      </c>
      <c r="E546" s="6" t="str">
        <f>IFERROR(VLOOKUP($A546,tWA[],5,FALSE),"--")</f>
        <v>--</v>
      </c>
      <c r="F546" s="6" t="str">
        <f>IFERROR(VLOOKUP($A546,tWA[],6,FALSE),"--")</f>
        <v>--</v>
      </c>
      <c r="G546" s="18"/>
      <c r="H546" s="18"/>
      <c r="I546" s="18"/>
      <c r="J546" s="6" t="s">
        <v>1218</v>
      </c>
      <c r="K546" s="6">
        <v>20</v>
      </c>
      <c r="L546" s="6" t="s">
        <v>566</v>
      </c>
      <c r="M546" s="11" t="s">
        <v>1226</v>
      </c>
      <c r="N546" s="7" t="str">
        <f t="shared" si="27"/>
        <v>{"name": "Mustard and Fennel", "map": "Thieves Market", "fCoords": "977, 930", "waCoords": "--, --", "leaflet": "", "pinType": "Shopping", "mapRef": "20", "type": "Herbalist", "description": ""},</v>
      </c>
    </row>
    <row r="547" spans="1:14" ht="15.75" hidden="1" customHeight="1" x14ac:dyDescent="0.25">
      <c r="A547" s="2" t="s">
        <v>1224</v>
      </c>
      <c r="B547" s="7" t="s">
        <v>1211</v>
      </c>
      <c r="C547" s="6" t="s">
        <v>1667</v>
      </c>
      <c r="D547" s="6">
        <v>765</v>
      </c>
      <c r="E547" s="6" t="str">
        <f>IFERROR(VLOOKUP($A547,tWA[],5,FALSE),"--")</f>
        <v>610</v>
      </c>
      <c r="F547" s="6" t="str">
        <f>IFERROR(VLOOKUP($A547,tWA[],6,FALSE),"--")</f>
        <v>1032</v>
      </c>
      <c r="G547" s="18"/>
      <c r="H547" s="18"/>
      <c r="I547" s="18"/>
      <c r="J547" s="6" t="s">
        <v>1218</v>
      </c>
      <c r="K547" s="6">
        <v>12</v>
      </c>
      <c r="L547" s="6" t="s">
        <v>54</v>
      </c>
      <c r="N547" s="7" t="str">
        <f t="shared" si="27"/>
        <v>{"name": "Picket Post Merchandise", "map": "Thieves Market", "fCoords": "610, 765", "waCoords": "610, 1032", "leaflet": "", "pinType": "Shopping", "mapRef": "12", "type": "General Goods", "description": ""},</v>
      </c>
    </row>
    <row r="548" spans="1:14" ht="15" hidden="1" customHeight="1" x14ac:dyDescent="0.25">
      <c r="A548" s="7" t="s">
        <v>645</v>
      </c>
      <c r="B548" s="7" t="s">
        <v>1211</v>
      </c>
      <c r="C548" s="6">
        <v>977</v>
      </c>
      <c r="D548" s="6">
        <v>1540</v>
      </c>
      <c r="E548" s="6" t="str">
        <f>IFERROR(VLOOKUP($A548,tWA[],5,FALSE),"--")</f>
        <v>--</v>
      </c>
      <c r="F548" s="6" t="str">
        <f>IFERROR(VLOOKUP($A548,tWA[],6,FALSE),"--")</f>
        <v>--</v>
      </c>
      <c r="G548" s="18"/>
      <c r="H548" s="18"/>
      <c r="I548" s="18"/>
      <c r="J548" s="6" t="s">
        <v>1199</v>
      </c>
      <c r="K548" s="6">
        <v>23</v>
      </c>
      <c r="L548" s="6" t="s">
        <v>646</v>
      </c>
      <c r="M548" s="11" t="s">
        <v>1226</v>
      </c>
      <c r="N548" s="7" t="str">
        <f t="shared" si="27"/>
        <v>{"name": "Rackley's Museum of Oddities", "map": "Thieves Market", "fCoords": "977, 1540", "waCoords": "--, --", "leaflet": "", "pinType": "Entertainment", "mapRef": "23", "type": "Museum", "description": ""},</v>
      </c>
    </row>
    <row r="549" spans="1:14" ht="15" hidden="1" customHeight="1" x14ac:dyDescent="0.25">
      <c r="A549" s="7" t="s">
        <v>1675</v>
      </c>
      <c r="B549" s="7" t="s">
        <v>1211</v>
      </c>
      <c r="C549" s="6" t="s">
        <v>1648</v>
      </c>
      <c r="D549" s="6">
        <v>870</v>
      </c>
      <c r="E549" s="6" t="str">
        <f>IFERROR(VLOOKUP($A549,tWA[],5,FALSE),"--")</f>
        <v>585</v>
      </c>
      <c r="F549" s="6" t="str">
        <f>IFERROR(VLOOKUP($A549,tWA[],6,FALSE),"--")</f>
        <v>920</v>
      </c>
      <c r="G549" s="18"/>
      <c r="H549" s="18"/>
      <c r="I549" s="18"/>
      <c r="J549" s="6" t="s">
        <v>1677</v>
      </c>
      <c r="K549" s="6">
        <v>9</v>
      </c>
      <c r="L549" s="6" t="s">
        <v>400</v>
      </c>
      <c r="N549" s="7" t="str">
        <f t="shared" si="27"/>
        <v>{"name": "Tael I'she-Kel's Money Changing Service", "map": "Thieves Market", "fCoords": "585, 870", "waCoords": "585, 920", "leaflet": "", "pinType": "Service", "mapRef": "9", "type": "Banking", "description": ""},</v>
      </c>
    </row>
    <row r="550" spans="1:14" ht="15" hidden="1" customHeight="1" x14ac:dyDescent="0.25">
      <c r="A550" s="7" t="s">
        <v>816</v>
      </c>
      <c r="B550" s="7" t="s">
        <v>1211</v>
      </c>
      <c r="C550" s="6">
        <v>977</v>
      </c>
      <c r="D550" s="6">
        <v>1100</v>
      </c>
      <c r="E550" s="6" t="str">
        <f>IFERROR(VLOOKUP($A550,tWA[],5,FALSE),"--")</f>
        <v>1030</v>
      </c>
      <c r="F550" s="6" t="str">
        <f>IFERROR(VLOOKUP($A550,tWA[],6,FALSE),"--")</f>
        <v>605</v>
      </c>
      <c r="G550" s="18"/>
      <c r="H550" s="18"/>
      <c r="I550" s="18"/>
      <c r="J550" s="6" t="s">
        <v>1204</v>
      </c>
      <c r="K550" s="6">
        <v>21</v>
      </c>
      <c r="L550" s="6" t="s">
        <v>68</v>
      </c>
      <c r="N550" s="7" t="str">
        <f t="shared" si="27"/>
        <v>{"name": "The Bar None", "map": "Thieves Market", "fCoords": "977, 1100", "waCoords": "1030, 605", "leaflet": "", "pinType": "Inns &amp; Taverns", "mapRef": "21", "type": "Tavern", "description": ""},</v>
      </c>
    </row>
    <row r="551" spans="1:14" ht="15" hidden="1" customHeight="1" x14ac:dyDescent="0.25">
      <c r="A551" s="7" t="s">
        <v>837</v>
      </c>
      <c r="B551" s="7" t="s">
        <v>1211</v>
      </c>
      <c r="C551" s="6">
        <v>25</v>
      </c>
      <c r="D551" s="6">
        <v>600</v>
      </c>
      <c r="E551" s="6" t="str">
        <f>IFERROR(VLOOKUP($A551,tWA[],5,FALSE),"--")</f>
        <v>39</v>
      </c>
      <c r="F551" s="6" t="str">
        <f>IFERROR(VLOOKUP($A551,tWA[],6,FALSE),"--")</f>
        <v>1238</v>
      </c>
      <c r="G551" s="18"/>
      <c r="H551" s="18"/>
      <c r="I551" s="18"/>
      <c r="J551" s="6" t="s">
        <v>1204</v>
      </c>
      <c r="K551" s="6">
        <v>16</v>
      </c>
      <c r="L551" s="6" t="s">
        <v>16</v>
      </c>
      <c r="N551" s="7" t="str">
        <f t="shared" si="27"/>
        <v>{"name": "The Boar's Head", "map": "Thieves Market", "fCoords": "25, 600", "waCoords": "39, 1238", "leaflet": "", "pinType": "Inns &amp; Taverns", "mapRef": "16", "type": "Inn", "description": ""},</v>
      </c>
    </row>
    <row r="552" spans="1:14" ht="15" hidden="1" customHeight="1" x14ac:dyDescent="0.25">
      <c r="A552" s="7" t="s">
        <v>855</v>
      </c>
      <c r="B552" s="7" t="s">
        <v>1211</v>
      </c>
      <c r="C552" s="6">
        <v>977</v>
      </c>
      <c r="D552" s="6">
        <v>1345</v>
      </c>
      <c r="E552" s="6" t="str">
        <f>IFERROR(VLOOKUP($A552,tWA[],5,FALSE),"--")</f>
        <v>1029</v>
      </c>
      <c r="F552" s="6" t="str">
        <f>IFERROR(VLOOKUP($A552,tWA[],6,FALSE),"--")</f>
        <v>414</v>
      </c>
      <c r="G552" s="18"/>
      <c r="H552" s="18"/>
      <c r="I552" s="18"/>
      <c r="J552" s="6" t="s">
        <v>1204</v>
      </c>
      <c r="K552" s="6">
        <v>22</v>
      </c>
      <c r="L552" s="6" t="s">
        <v>68</v>
      </c>
      <c r="N552" s="7" t="str">
        <f t="shared" si="27"/>
        <v>{"name": "The Crocked Constable", "map": "Thieves Market", "fCoords": "977, 1345", "waCoords": "1029, 414", "leaflet": "", "pinType": "Inns &amp; Taverns", "mapRef": "22", "type": "Tavern", "description": ""},</v>
      </c>
    </row>
    <row r="553" spans="1:14" ht="30" hidden="1" x14ac:dyDescent="0.25">
      <c r="A553" s="7" t="s">
        <v>949</v>
      </c>
      <c r="B553" s="7" t="s">
        <v>1211</v>
      </c>
      <c r="C553" s="6">
        <v>977</v>
      </c>
      <c r="D553" s="6">
        <v>620</v>
      </c>
      <c r="E553" s="6" t="str">
        <f>IFERROR(VLOOKUP($A553,tWA[],5,FALSE),"--")</f>
        <v>3055</v>
      </c>
      <c r="F553" s="6" t="str">
        <f>IFERROR(VLOOKUP($A553,tWA[],6,FALSE),"--")</f>
        <v>1690</v>
      </c>
      <c r="G553" s="18"/>
      <c r="H553" s="18"/>
      <c r="I553" s="18"/>
      <c r="J553" s="6" t="s">
        <v>1204</v>
      </c>
      <c r="K553" s="6">
        <v>18</v>
      </c>
      <c r="L553" s="6" t="s">
        <v>16</v>
      </c>
      <c r="M553" s="11" t="s">
        <v>1363</v>
      </c>
      <c r="N553" s="7" t="str">
        <f t="shared" si="27"/>
        <v>{"name": "The Market Inn", "map": "Thieves Market", "fCoords": "977, 620", "waCoords": "3055, 1690", "leaflet": "", "pinType": "Inns &amp; Taverns", "mapRef": "18", "type": "Inn", "description": "One of the more well known inns/taverns in haven"},</v>
      </c>
    </row>
    <row r="554" spans="1:14" ht="15" hidden="1" customHeight="1" x14ac:dyDescent="0.25">
      <c r="A554" s="7" t="s">
        <v>1012</v>
      </c>
      <c r="B554" s="7" t="s">
        <v>1211</v>
      </c>
      <c r="C554" s="6">
        <v>360</v>
      </c>
      <c r="D554" s="6">
        <v>1800</v>
      </c>
      <c r="E554" s="6" t="str">
        <f>IFERROR(VLOOKUP($A554,tWA[],5,FALSE),"--")</f>
        <v>--</v>
      </c>
      <c r="F554" s="6" t="str">
        <f>IFERROR(VLOOKUP($A554,tWA[],6,FALSE),"--")</f>
        <v>--</v>
      </c>
      <c r="G554" s="18"/>
      <c r="H554" s="18"/>
      <c r="I554" s="18"/>
      <c r="J554" s="6" t="s">
        <v>1199</v>
      </c>
      <c r="K554" s="6">
        <v>24</v>
      </c>
      <c r="L554" s="6" t="s">
        <v>276</v>
      </c>
      <c r="M554" s="11" t="s">
        <v>1226</v>
      </c>
      <c r="N554" s="7" t="str">
        <f t="shared" si="27"/>
        <v>{"name": "The Silver Stringed Bouzouki", "map": "Thieves Market", "fCoords": "360, 1800", "waCoords": "--, --", "leaflet": "", "pinType": "Entertainment", "mapRef": "24", "type": "Theatre", "description": ""},</v>
      </c>
    </row>
    <row r="555" spans="1:14" ht="15" hidden="1" customHeight="1" x14ac:dyDescent="0.25">
      <c r="A555" s="7" t="s">
        <v>1184</v>
      </c>
      <c r="B555" s="7" t="s">
        <v>1211</v>
      </c>
      <c r="C555" s="6">
        <v>565</v>
      </c>
      <c r="D555" s="6">
        <v>1540</v>
      </c>
      <c r="E555" s="6" t="str">
        <f>IFERROR(VLOOKUP($A555,tWA[],5,FALSE),"--")</f>
        <v>567</v>
      </c>
      <c r="F555" s="6" t="str">
        <f>IFERROR(VLOOKUP($A555,tWA[],6,FALSE),"--")</f>
        <v>246</v>
      </c>
      <c r="G555" s="18"/>
      <c r="H555" s="18"/>
      <c r="I555" s="18"/>
      <c r="J555" s="6" t="s">
        <v>1218</v>
      </c>
      <c r="K555" s="6">
        <v>4</v>
      </c>
      <c r="L555" s="6" t="s">
        <v>187</v>
      </c>
      <c r="M555" s="11" t="s">
        <v>1225</v>
      </c>
      <c r="N555" s="7" t="str">
        <f t="shared" si="27"/>
        <v>{"name": "Vaunea 'Dawncaller' Kolae-Gileana - Poultry Products", "map": "Thieves Market", "fCoords": "565, 1540", "waCoords": "567, 246", "leaflet": "", "pinType": "Shopping", "mapRef": "4", "type": "Poultry", "description": "Fresh poultry and their eggs"},</v>
      </c>
    </row>
    <row r="556" spans="1:14" ht="30" hidden="1" x14ac:dyDescent="0.25">
      <c r="A556" s="7" t="s">
        <v>1185</v>
      </c>
      <c r="B556" s="7" t="s">
        <v>1211</v>
      </c>
      <c r="C556" s="6">
        <v>810</v>
      </c>
      <c r="D556" s="6">
        <v>1070</v>
      </c>
      <c r="E556" s="6" t="str">
        <f>IFERROR(VLOOKUP($A556,tWA[],5,FALSE),"--")</f>
        <v>818</v>
      </c>
      <c r="F556" s="6" t="str">
        <f>IFERROR(VLOOKUP($A556,tWA[],6,FALSE),"--")</f>
        <v>726</v>
      </c>
      <c r="G556" s="18"/>
      <c r="H556" s="18"/>
      <c r="I556" s="18"/>
      <c r="J556" s="6" t="s">
        <v>1218</v>
      </c>
      <c r="K556" s="6">
        <v>1</v>
      </c>
      <c r="L556" s="6" t="s">
        <v>1689</v>
      </c>
      <c r="N556" s="7" t="str">
        <f t="shared" si="27"/>
        <v>{"name": "Vorikooreis - Herbs and Minor Potions", "map": "Thieves Market", "fCoords": "810, 1070", "waCoords": "818, 726", "leaflet": "", "pinType": "Shopping", "mapRef": "1", "type": "Potions, Herbalist", "description": ""},</v>
      </c>
    </row>
  </sheetData>
  <sortState xmlns:xlrd2="http://schemas.microsoft.com/office/spreadsheetml/2017/richdata2" ref="A3:A556">
    <sortCondition ref="A539:A556"/>
  </sortState>
  <mergeCells count="2">
    <mergeCell ref="C1:D1"/>
    <mergeCell ref="E1:F1"/>
  </mergeCells>
  <phoneticPr fontId="7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Foundry Pins</vt:lpstr>
      <vt:lpstr>WA Markers</vt:lpstr>
      <vt:lpstr>MD files</vt:lpstr>
      <vt:lpstr>factorHaven</vt:lpstr>
      <vt:lpstr>scaleHaven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Bob</cp:lastModifiedBy>
  <dcterms:created xsi:type="dcterms:W3CDTF">2026-06-19T01:21:46Z</dcterms:created>
  <dcterms:modified xsi:type="dcterms:W3CDTF">2026-06-22T00:03:58Z</dcterms:modified>
</cp:coreProperties>
</file>